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e4bb69d0f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1661a1d71497d"/>
    <x:sheet xmlns:r="http://schemas.openxmlformats.org/officeDocument/2006/relationships" name="Results" sheetId="2" r:id="R43ecdb5046b1408e"/>
    <x:sheet xmlns:r="http://schemas.openxmlformats.org/officeDocument/2006/relationships" name="Guide" sheetId="3" r:id="Rceedd53257284bb6"/>
    <x:sheet xmlns:r="http://schemas.openxmlformats.org/officeDocument/2006/relationships" name="Short_Cases" sheetId="4" r:id="R78a9d5191ef44e9e"/>
    <x:sheet xmlns:r="http://schemas.openxmlformats.org/officeDocument/2006/relationships" name="Long_Cases" sheetId="5" r:id="R21adcb253115481b"/>
    <x:sheet xmlns:r="http://schemas.openxmlformats.org/officeDocument/2006/relationships" name="Short_TCAD" sheetId="6" r:id="R41d6b9de13fd46e5"/>
    <x:sheet xmlns:r="http://schemas.openxmlformats.org/officeDocument/2006/relationships" name="Long_TCAD" sheetId="7" r:id="R2ecae5646a29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0"/>
    <x:numFmt numFmtId="203" formatCode="0.000E+00"/>
    <x:numFmt numFmtId="204" formatCode="0.0000"/>
  </x:numFmts>
  <x:fonts count="11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9"/>
      <x:color rgb="FFFFFFFF"/>
      <x:name val="Arial"/>
    </x:font>
    <x:font>
      <x:sz val="9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D97706"/>
      </x:patternFill>
    </x:fill>
    <x:fill>
      <x:patternFill patternType="solid">
        <x:fgColor rgb="FFFEF3C7"/>
      </x:patternFill>
    </x:fill>
    <x:fill>
      <x:patternFill patternType="solid">
        <x:fgColor rgb="FF475569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5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2" fillId="7" borderId="1" xfId="0" applyNumberFormat="1" applyFont="1" applyFill="1" applyBorder="1"/>
    <x:xf numFmtId="0" fontId="3" fillId="8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/>
    <x:xf numFmtId="0" fontId="4" fillId="7" borderId="1" xfId="0" applyNumberFormat="1" applyFont="1" applyFill="1" applyBorder="1"/>
    <x:xf numFmtId="0" fontId="6" fillId="4" borderId="1" xfId="0" applyNumberFormat="1" applyFont="1" applyFill="1" applyBorder="1"/>
    <x:xf numFmtId="0" fontId="5" fillId="0" borderId="1" xfId="0" applyNumberFormat="1" applyFont="1" applyFill="1" applyBorder="1"/>
    <x:xf numFmtId="0" fontId="6" fillId="8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4" fillId="5" borderId="1" xfId="0" applyNumberFormat="1" applyFont="1" applyFill="1" applyBorder="1"/>
    <x:xf numFmtId="0" fontId="6" fillId="6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2" fillId="10" borderId="1" xfId="0" applyNumberFormat="1" applyFont="1" applyFill="1" applyBorder="1"/>
    <x:xf numFmtId="0" fontId="3" fillId="11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4" fillId="10" borderId="1" xfId="0" applyNumberFormat="1" applyFont="1" applyFill="1" applyBorder="1"/>
    <x:xf numFmtId="0" fontId="6" fillId="11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12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/>
    <x:xf numFmtId="0" fontId="2" fillId="3" borderId="2" xfId="0" applyNumberFormat="1" applyFont="1" applyFill="1" applyBorder="1"/>
    <x:xf numFmtId="0" fontId="2" fillId="5" borderId="2" xfId="0" applyNumberFormat="1" applyFont="1" applyFill="1" applyBorder="1"/>
    <x:xf numFmtId="0" fontId="2" fillId="10" borderId="2" xfId="0" applyNumberFormat="1" applyFont="1" applyFill="1" applyBorder="1"/>
    <x:xf numFmtId="0" fontId="2" fillId="7" borderId="2" xfId="0" applyNumberFormat="1" applyFont="1" applyFill="1" applyBorder="1"/>
    <x:xf numFmtId="0" fontId="0" fillId="8" borderId="2" xfId="0" applyNumberFormat="1" applyFont="1" applyFill="1" applyBorder="1"/>
    <x:xf numFmtId="0" fontId="9" fillId="9" borderId="2" xfId="0" applyNumberFormat="1" applyFont="1" applyFill="1" applyBorder="1"/>
    <x:xf numFmtId="0" fontId="9" fillId="3" borderId="2" xfId="0" applyNumberFormat="1" applyFont="1" applyFill="1" applyBorder="1"/>
    <x:xf numFmtId="0" fontId="9" fillId="5" borderId="2" xfId="0" applyNumberFormat="1" applyFont="1" applyFill="1" applyBorder="1"/>
    <x:xf numFmtId="0" fontId="9" fillId="10" borderId="2" xfId="0" applyNumberFormat="1" applyFont="1" applyFill="1" applyBorder="1"/>
    <x:xf numFmtId="0" fontId="9" fillId="7" borderId="2" xfId="0" applyNumberFormat="1" applyFont="1" applyFill="1" applyBorder="1"/>
    <x:xf numFmtId="0" fontId="10" fillId="0" borderId="2" xfId="0" applyNumberFormat="1" applyFont="1" applyFill="1" applyBorder="1"/>
    <x:xf numFmtId="0" fontId="10" fillId="8" borderId="2" xfId="0" applyNumberFormat="1" applyFont="1" applyFill="1" applyBorder="1"/>
    <x:xf numFmtId="0" fontId="9" fillId="9" borderId="2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204" fontId="10" fillId="0" borderId="2" xfId="0" applyNumberFormat="1" applyFont="1" applyFill="1" applyBorder="1"/>
    <x:xf numFmtId="200" fontId="10" fillId="0" borderId="2" xfId="0" applyNumberFormat="1" applyFont="1" applyFill="1" applyBorder="1"/>
    <x:xf numFmtId="203" fontId="10" fillId="0" borderId="2" xfId="0" applyNumberFormat="1" applyFont="1" applyFill="1" applyBorder="1"/>
    <x:xf numFmtId="203" fontId="10" fillId="8" borderId="2" xfId="0" applyNumberFormat="1" applyFont="1" applyFill="1" applyBorder="1"/>
    <x:xf numFmtId="201" fontId="10" fillId="0" borderId="2" xfId="0" applyNumberFormat="1" applyFont="1" applyFill="1" applyBorder="1"/>
    <x:xf numFmtId="202" fontId="10" fillId="0" borderId="2" xfId="0" applyNumberFormat="1" applyFont="1" applyFill="1" applyBorder="1"/>
    <x:xf numFmtId="204" fontId="10" fillId="8" borderId="2" xfId="0" applyNumberFormat="1" applyFont="1" applyFill="1" applyBorder="1"/>
    <x:xf numFmtId="202" fontId="10" fillId="8" borderId="2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/>
    <x:xf numFmtId="203" fontId="5" fillId="0" borderId="1" xfId="0" applyNumberFormat="1" applyFont="1" applyFill="1" applyBorder="1"/>
    <x:xf numFmtId="204" fontId="5" fillId="0" borderId="1" xfId="0" applyNumberFormat="1" applyFont="1" applyFill="1" applyBorder="1"/>
    <x:xf numFmtId="204" fontId="5" fillId="8" borderId="1" xfId="0" applyNumberFormat="1" applyFont="1" applyFill="1" applyBorder="1"/>
    <x:xf numFmtId="202" fontId="5" fillId="8" borderId="1" xfId="0" applyNumberFormat="1" applyFont="1" applyFill="1" applyBorder="1"/>
    <x:xf numFmtId="203" fontId="5" fillId="8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afdf8547043dd" /><Relationship Type="http://schemas.openxmlformats.org/officeDocument/2006/relationships/theme" Target="/xl/theme/theme1.xml" Id="R33dd3151343d481f" /><Relationship Type="http://schemas.openxmlformats.org/officeDocument/2006/relationships/sharedStrings" Target="/xl/sharedStrings.xml" Id="R32e659ad3fc24cd7" /><Relationship Type="http://schemas.openxmlformats.org/officeDocument/2006/relationships/worksheet" Target="/xl/worksheets/sheet1.xml" Id="Rc6f1661a1d71497d" /><Relationship Type="http://schemas.openxmlformats.org/officeDocument/2006/relationships/worksheet" Target="/xl/worksheets/sheet2.xml" Id="R43ecdb5046b1408e" /><Relationship Type="http://schemas.openxmlformats.org/officeDocument/2006/relationships/worksheet" Target="/xl/worksheets/sheet3.xml" Id="Rceedd53257284bb6" /><Relationship Type="http://schemas.openxmlformats.org/officeDocument/2006/relationships/worksheet" Target="/xl/worksheets/sheet4.xml" Id="R78a9d5191ef44e9e" /><Relationship Type="http://schemas.openxmlformats.org/officeDocument/2006/relationships/worksheet" Target="/xl/worksheets/sheet5.xml" Id="R21adcb253115481b" /><Relationship Type="http://schemas.openxmlformats.org/officeDocument/2006/relationships/worksheet" Target="/xl/worksheets/sheet6.xml" Id="R41d6b9de13fd46e5" /><Relationship Type="http://schemas.openxmlformats.org/officeDocument/2006/relationships/worksheet" Target="/xl/worksheets/sheet7.xml" Id="R2ecae5646a2949ec" /></Relationships>
</file>

<file path=xl/tables/table1.xml><?xml version="1.0" encoding="utf-8"?>
<x:table xmlns:x="http://schemas.openxmlformats.org/spreadsheetml/2006/main" id="1" name="ShortPracticalCases" displayName="ShortPracticalCases" ref="A1:AJ101" headerRowCount="1" totalsRowCount="0" totalsRowShown="0">
  <x:tableColumns count="36">
    <x:tableColumn id="1" name="CaseID"/>
    <x:tableColumn id="2" name="RecipeID"/>
    <x:tableColumn id="3" name="Lg_um"/>
    <x:tableColumn id="4" name="CaseType"/>
    <x:tableColumn id="5" name="ToleranceScale"/>
    <x:tableColumn id="6" name="FeasibleCandidates"/>
    <x:tableColumn id="7" name="Vth_Target_V"/>
    <x:tableColumn id="8" name="SS_Target_mVdec"/>
    <x:tableColumn id="9" name="Ion_Target_A"/>
    <x:tableColumn id="10" name="Ioff_Target_A"/>
    <x:tableColumn id="11" name="OnOff_Target"/>
    <x:tableColumn id="12" name="LDD_Dose_cm-2"/>
    <x:tableColumn id="13" name="LDD_Energy_keV"/>
    <x:tableColumn id="14" name="SD_Dose_cm-2"/>
    <x:tableColumn id="15" name="SD_Energy_keV"/>
    <x:tableColumn id="16" name="Anneal_s"/>
    <x:tableColumn id="17" name="Halo_Dose_cm-2"/>
    <x:tableColumn id="18" name="Halo_Energy_keV"/>
    <x:tableColumn id="19" name="ValidProbability"/>
    <x:tableColumn id="20" name="Pred_Vth_V"/>
    <x:tableColumn id="21" name="Pred_SS_mVdec"/>
    <x:tableColumn id="22" name="Pred_Ion_A"/>
    <x:tableColumn id="23" name="Pred_Ioff_A"/>
    <x:tableColumn id="24" name="Pred_OnOff"/>
    <x:tableColumn id="25" name="TCAD_Vth_V"/>
    <x:tableColumn id="26" name="TCAD_SS_mVdec"/>
    <x:tableColumn id="27" name="TCAD_Ion_A"/>
    <x:tableColumn id="28" name="TCAD_Ioff_A"/>
    <x:tableColumn id="29" name="TCAD_OnOff"/>
    <x:tableColumn id="30" name="AbsErr_Vth_mV"/>
    <x:tableColumn id="31" name="AbsErr_SS_mVdec"/>
    <x:tableColumn id="32" name="AbsErr_Ion_dec"/>
    <x:tableColumn id="33" name="AbsErr_Ioff_dec"/>
    <x:tableColumn id="34" name="AbsErr_OnOff_dec"/>
    <x:tableColumn id="35" name="Actual_Practical"/>
    <x:tableColumn id="3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PracticalCases" displayName="LongPracticalCases" ref="A1:AJ201" headerRowCount="1" totalsRowCount="0" totalsRowShown="0">
  <x:tableColumns count="36">
    <x:tableColumn id="1" name="CaseID"/>
    <x:tableColumn id="2" name="RecipeID"/>
    <x:tableColumn id="3" name="Lg_um"/>
    <x:tableColumn id="4" name="CaseType"/>
    <x:tableColumn id="5" name="ToleranceScale"/>
    <x:tableColumn id="6" name="FeasibleCandidates"/>
    <x:tableColumn id="7" name="Vth_Target_V"/>
    <x:tableColumn id="8" name="SS_Target_mVdec"/>
    <x:tableColumn id="9" name="Ion_Target_A"/>
    <x:tableColumn id="10" name="Ioff_Target_A"/>
    <x:tableColumn id="11" name="OnOff_Target"/>
    <x:tableColumn id="12" name="LDD_Dose_cm-2"/>
    <x:tableColumn id="13" name="LDD_Energy_keV"/>
    <x:tableColumn id="14" name="SD_Dose_cm-2"/>
    <x:tableColumn id="15" name="SD_Energy_keV"/>
    <x:tableColumn id="16" name="Anneal_s"/>
    <x:tableColumn id="17" name="Halo_Dose_cm-2"/>
    <x:tableColumn id="18" name="Halo_Energy_keV"/>
    <x:tableColumn id="19" name="ValidProbability"/>
    <x:tableColumn id="20" name="Pred_Vth_V"/>
    <x:tableColumn id="21" name="Pred_SS_mVdec"/>
    <x:tableColumn id="22" name="Pred_Ion_A"/>
    <x:tableColumn id="23" name="Pred_Ioff_A"/>
    <x:tableColumn id="24" name="Pred_OnOff"/>
    <x:tableColumn id="25" name="TCAD_Vth_V"/>
    <x:tableColumn id="26" name="TCAD_SS_mVdec"/>
    <x:tableColumn id="27" name="TCAD_Ion_A"/>
    <x:tableColumn id="28" name="TCAD_Ioff_A"/>
    <x:tableColumn id="29" name="TCAD_OnOff"/>
    <x:tableColumn id="30" name="AbsErr_Vth_mV"/>
    <x:tableColumn id="31" name="AbsErr_SS_mVdec"/>
    <x:tableColumn id="32" name="AbsErr_Ion_dec"/>
    <x:tableColumn id="33" name="AbsErr_Ioff_dec"/>
    <x:tableColumn id="34" name="AbsErr_OnOff_dec"/>
    <x:tableColumn id="35" name="Actual_Practical"/>
    <x:tableColumn id="3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ortUniqueTCAD" displayName="ShortUniqueTCAD" ref="A1:N100" headerRowCount="1" totalsRowCount="0" totalsRowShown="0">
  <x:tableColumns count="14">
    <x:tableColumn id="1" name="RecipeID"/>
    <x:tableColumn id="2" name="CaseIDs"/>
    <x:tableColumn id="3" name="Lg_um"/>
    <x:tableColumn id="4" name="LDD_Dose_cm-2"/>
    <x:tableColumn id="5" name="LDD_Energy_keV"/>
    <x:tableColumn id="6" name="SD_Dose_cm-2"/>
    <x:tableColumn id="7" name="SD_Energy_keV"/>
    <x:tableColumn id="8" name="Anneal_s"/>
    <x:tableColumn id="9" name="Halo_Dose_cm-2"/>
    <x:tableColumn id="10" name="Halo_Energy_keV"/>
    <x:tableColumn id="11" name="TCAD_Vth_V"/>
    <x:tableColumn id="12" name="TCAD_SS_mVdec"/>
    <x:tableColumn id="13" name="TCAD_Ion_A"/>
    <x:tableColumn id="14" name="TCAD_Ioff_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ngUniqueTCAD" displayName="LongUniqueTCAD" ref="A1:K176" headerRowCount="1" totalsRowCount="0" totalsRowShown="0">
  <x:tableColumns count="11">
    <x:tableColumn id="1" name="RecipeID"/>
    <x:tableColumn id="2" name="CaseIDs"/>
    <x:tableColumn id="3" name="Lg_um"/>
    <x:tableColumn id="4" name="LDD_Dose_cm-2"/>
    <x:tableColumn id="5" name="LDD_Energy_keV"/>
    <x:tableColumn id="6" name="SD_Dose_cm-2"/>
    <x:tableColumn id="7" name="SD_Energy_keV"/>
    <x:tableColumn id="8" name="TCAD_Vth_V"/>
    <x:tableColumn id="9" name="TCAD_SS_mVdec"/>
    <x:tableColumn id="10" name="TCAD_Ion_A"/>
    <x:tableColumn id="11" name="TCAD_Ioff_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9241709f739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2c0dd7d5ad943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ad7293aef3b4b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d85c7c6b30447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4" hidden="0" customWidth="1"/>
    <x:col min="5" max="5" width="30" hidden="0" customWidth="1"/>
    <x:col min="6" max="6" width="18" hidden="0" customWidth="1"/>
  </x:cols>
  <x:sheetData>
    <x:row r="1" ht="30" customHeight="1">
      <x:c r="A1" s="3" t="str">
        <x:v>Practical inverse-design TCAD validation</x:v>
      </x:c>
      <x:c r="B1" s="3"/>
      <x:c r="C1" s="3"/>
      <x:c r="D1" s="3"/>
      <x:c r="E1" s="3"/>
      <x:c r="F1" s="3"/>
    </x:row>
    <x:row r="2">
      <x:c r="A2" s="27"/>
      <x:c r="B2" s="27"/>
      <x:c r="C2" s="27"/>
      <x:c r="D2" s="27"/>
      <x:c r="E2" s="27"/>
      <x:c r="F2" s="27"/>
    </x:row>
    <x:row r="3">
      <x:c r="A3" s="28" t="str">
        <x:v>항목</x:v>
      </x:c>
      <x:c r="B3" s="28" t="str">
        <x:v>Short</x:v>
      </x:c>
      <x:c r="C3" s="28" t="str">
        <x:v>Long</x:v>
      </x:c>
      <x:c r="D3" s="27"/>
      <x:c r="E3" s="29" t="str">
        <x:v>TCAD 입력 후 자동 집계</x:v>
      </x:c>
      <x:c r="F3" s="29" t="str">
        <x:v>값</x:v>
      </x:c>
    </x:row>
    <x:row r="4">
      <x:c r="A4" s="30" t="str">
        <x:v>모델</x:v>
      </x:c>
      <x:c r="B4" s="31" t="str">
        <x:v>Pooled Short Random Forest</x:v>
      </x:c>
      <x:c r="C4" s="31" t="str">
        <x:v>Pooled Long Random Forest</x:v>
      </x:c>
      <x:c r="D4" s="27"/>
      <x:c r="E4" s="32" t="str">
        <x:v>Short 완료 케이스</x:v>
      </x:c>
      <x:c r="F4" s="33" t="n">
        <x:f>COUNT('Short_Cases'!Y2:Y101)</x:f>
        <x:v>100</x:v>
      </x:c>
    </x:row>
    <x:row r="5">
      <x:c r="A5" s="30" t="str">
        <x:v>목표 케이스</x:v>
      </x:c>
      <x:c r="B5" s="31" t="n">
        <x:v>100</x:v>
      </x:c>
      <x:c r="C5" s="31" t="n">
        <x:v>200</x:v>
      </x:c>
      <x:c r="D5" s="27"/>
      <x:c r="E5" s="32" t="str">
        <x:v>Short 실제 Practical 통과율</x:v>
      </x:c>
      <x:c r="F5" s="34" t="n">
        <x:f>IF(F4=0,"",COUNTIF('Short_Cases'!AI2:AI101,"PASS")/F4)</x:f>
        <x:v>0.88</x:v>
      </x:c>
    </x:row>
    <x:row r="6">
      <x:c r="A6" s="30" t="str">
        <x:v>고유 TCAD 레시피</x:v>
      </x:c>
      <x:c r="B6" s="31" t="n">
        <x:v>99</x:v>
      </x:c>
      <x:c r="C6" s="31" t="n">
        <x:v>175</x:v>
      </x:c>
      <x:c r="D6" s="27"/>
      <x:c r="E6" s="32" t="str">
        <x:v>Short Vth MAE (mV)</x:v>
      </x:c>
      <x:c r="F6" s="35" t="n">
        <x:f>IFERROR(AVERAGE('Short_Cases'!AD2:AD101),"")</x:f>
        <x:v>85.1095333333334</x:v>
      </x:c>
    </x:row>
    <x:row r="7">
      <x:c r="A7" s="30" t="str">
        <x:v>Lg (um)</x:v>
      </x:c>
      <x:c r="B7" s="31" t="str">
        <x:v>0.065, 0.09</x:v>
      </x:c>
      <x:c r="C7" s="31" t="str">
        <x:v>0.18, 0.36, 0.72, 1</x:v>
      </x:c>
      <x:c r="D7" s="27"/>
      <x:c r="E7" s="32" t="str">
        <x:v>Short SS MAE (mV/dec)</x:v>
      </x:c>
      <x:c r="F7" s="35" t="n">
        <x:f>IFERROR(AVERAGE('Short_Cases'!AE2:AE101),"")</x:f>
        <x:v>23.221788383890626</x:v>
      </x:c>
    </x:row>
    <x:row r="8">
      <x:c r="A8" s="30" t="str">
        <x:v>후보/Lg</x:v>
      </x:c>
      <x:c r="B8" s="31" t="n">
        <x:v>500000</x:v>
      </x:c>
      <x:c r="C8" s="31" t="n">
        <x:v>500000</x:v>
      </x:c>
      <x:c r="D8" s="27"/>
      <x:c r="E8" s="32" t="str">
        <x:v>Long 완료 케이스</x:v>
      </x:c>
      <x:c r="F8" s="33" t="n">
        <x:f>COUNT('Long_Cases'!Y2:Y201)</x:f>
        <x:v>200</x:v>
      </x:c>
    </x:row>
    <x:row r="9">
      <x:c r="A9" s="30" t="str">
        <x:v>Seed</x:v>
      </x:c>
      <x:c r="B9" s="31" t="n">
        <x:v>20260823</x:v>
      </x:c>
      <x:c r="C9" s="31" t="n">
        <x:v>20260823</x:v>
      </x:c>
      <x:c r="D9" s="27"/>
      <x:c r="E9" s="32" t="str">
        <x:v>Long 실제 Practical 통과율</x:v>
      </x:c>
      <x:c r="F9" s="34" t="n">
        <x:f>IF(F8=0,"",COUNTIF('Long_Cases'!AI2:AI201,"PASS")/F8)</x:f>
        <x:v>1</x:v>
      </x:c>
    </x:row>
    <x:row r="10">
      <x:c r="A10" s="27"/>
      <x:c r="B10" s="27"/>
      <x:c r="C10" s="27"/>
      <x:c r="D10" s="27"/>
      <x:c r="E10" s="32" t="str">
        <x:v>Long Vth MAE (mV)</x:v>
      </x:c>
      <x:c r="F10" s="35" t="n">
        <x:f>IFERROR(AVERAGE('Long_Cases'!AD2:AD201),"")</x:f>
        <x:v>10.16944999999971</x:v>
      </x:c>
    </x:row>
    <x:row r="11">
      <x:c r="A11" s="27"/>
      <x:c r="B11" s="27"/>
      <x:c r="C11" s="27"/>
      <x:c r="D11" s="27"/>
      <x:c r="E11" s="27"/>
      <x:c r="F11" s="27"/>
    </x:row>
    <x:row r="12">
      <x:c r="A12" s="36" t="str">
        <x:v>Practical 기준</x:v>
      </x:c>
      <x:c r="B12" s="36" t="str">
        <x:v>조건</x:v>
      </x:c>
      <x:c r="C12" s="36" t="str">
        <x:v>의미</x:v>
      </x:c>
      <x:c r="D12" s="27"/>
      <x:c r="E12" s="27"/>
      <x:c r="F12" s="27"/>
    </x:row>
    <x:row r="13">
      <x:c r="A13" s="37" t="str">
        <x:v>Vth</x:v>
      </x:c>
      <x:c r="B13" s="31" t="str">
        <x:v>0.3–1.2 V</x:v>
      </x:c>
      <x:c r="C13" s="38" t="str">
        <x:v>일반적으로 사용할 가능성이 있는 문턱전압 범위</x:v>
      </x:c>
      <x:c r="D13" s="27"/>
      <x:c r="E13" s="27"/>
      <x:c r="F13" s="27"/>
    </x:row>
    <x:row r="14">
      <x:c r="A14" s="37" t="str">
        <x:v>SS</x:v>
      </x:c>
      <x:c r="B14" s="31" t="str">
        <x:v>≤ 200 mV/dec</x:v>
      </x:c>
      <x:c r="C14" s="38" t="str">
        <x:v>극단적인 gate-control 열화 제외</x:v>
      </x:c>
      <x:c r="D14" s="27"/>
      <x:c r="E14" s="27"/>
      <x:c r="F14" s="27"/>
    </x:row>
    <x:row r="15">
      <x:c r="A15" s="37" t="str">
        <x:v>Ion</x:v>
      </x:c>
      <x:c r="B15" s="31" t="str">
        <x:v>≥ 1.0E-4 A</x:v>
      </x:c>
      <x:c r="C15" s="38" t="str">
        <x:v>충분히 켜지는 소자</x:v>
      </x:c>
      <x:c r="D15" s="27"/>
      <x:c r="E15" s="27"/>
      <x:c r="F15" s="27"/>
    </x:row>
    <x:row r="16">
      <x:c r="A16" s="37" t="str">
        <x:v>Ioff</x:v>
      </x:c>
      <x:c r="B16" s="31" t="str">
        <x:v>≤ 1.0E-6 A</x:v>
      </x:c>
      <x:c r="C16" s="38" t="str">
        <x:v>과도한 누설 제외</x:v>
      </x:c>
      <x:c r="D16" s="27"/>
      <x:c r="E16" s="27"/>
      <x:c r="F16" s="27"/>
    </x:row>
    <x:row r="17">
      <x:c r="A17" s="37" t="str">
        <x:v>추가 조건</x:v>
      </x:c>
      <x:c r="B17" s="31" t="str">
        <x:v>다변량 중앙부</x:v>
      </x:c>
      <x:c r="C17" s="38" t="str">
        <x:v>학습 출력공간의 극단 경계 제외</x:v>
      </x:c>
      <x:c r="D17" s="27"/>
      <x:c r="E17" s="27"/>
      <x:c r="F17" s="27"/>
    </x:row>
    <x:row r="18">
      <x:c r="A18" s="37" t="str">
        <x:v>Ion/Ioff</x:v>
      </x:c>
      <x:c r="B18" s="31" t="str">
        <x:v>참고 지표</x:v>
      </x:c>
      <x:c r="C18" s="38" t="str">
        <x:v>Practical 합격 판정에서는 제외</x:v>
      </x:c>
      <x:c r="D18" s="27"/>
      <x:c r="E18" s="27"/>
      <x:c r="F18" s="2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2" t="str">
        <x:v>Practical suite: ML prediction vs TCAD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56" t="str">
        <x:v>Device</x:v>
      </x:c>
      <x:c r="B3" s="56" t="str">
        <x:v>Cases</x:v>
      </x:c>
      <x:c r="C3" s="56" t="str">
        <x:v>TCAD Valid</x:v>
      </x:c>
      <x:c r="D3" s="56" t="str">
        <x:v>Actual Practical</x:v>
      </x:c>
      <x:c r="E3" s="56" t="str">
        <x:v>Target-window pass</x:v>
      </x:c>
      <x:c r="F3" s="56" t="str">
        <x:v>Vth R2</x:v>
      </x:c>
      <x:c r="G3" s="56" t="str">
        <x:v>Vth MAE_mV</x:v>
      </x:c>
      <x:c r="H3" s="56" t="str">
        <x:v>SS R2</x:v>
      </x:c>
      <x:c r="I3" s="56" t="str">
        <x:v>SS MAE</x:v>
      </x:c>
      <x:c r="J3" s="56" t="str">
        <x:v>Ion logR2</x:v>
      </x:c>
      <x:c r="K3" s="56" t="str">
        <x:v>Ion logMAE</x:v>
      </x:c>
      <x:c r="L3" s="56" t="str">
        <x:v>Ioff logR2</x:v>
      </x:c>
      <x:c r="M3" s="56" t="str">
        <x:v>Ioff logMAE</x:v>
      </x:c>
      <x:c r="N3" s="56" t="str">
        <x:v>OnOff logMAE</x:v>
      </x:c>
    </x:row>
    <x:row r="4">
      <x:c r="A4" s="30" t="str">
        <x:v>Short</x:v>
      </x:c>
      <x:c r="B4" s="33" t="n">
        <x:v>100</x:v>
      </x:c>
      <x:c r="C4" s="34" t="n">
        <x:v>1</x:v>
      </x:c>
      <x:c r="D4" s="34" t="n">
        <x:v>0.88</x:v>
      </x:c>
      <x:c r="E4" s="34" t="n">
        <x:v>0.09</x:v>
      </x:c>
      <x:c r="F4" s="35" t="n">
        <x:v>0.47337560272921775</x:v>
      </x:c>
      <x:c r="G4" s="35" t="n">
        <x:v>85.10953333333339</x:v>
      </x:c>
      <x:c r="H4" s="35" t="n">
        <x:v>0.021244119645637327</x:v>
      </x:c>
      <x:c r="I4" s="35" t="n">
        <x:v>23.221788383890633</x:v>
      </x:c>
      <x:c r="J4" s="35" t="n">
        <x:v>0.5352060995649944</x:v>
      </x:c>
      <x:c r="K4" s="35" t="n">
        <x:v>0.1252455140486443</x:v>
      </x:c>
      <x:c r="L4" s="35" t="n">
        <x:v>0.46326523683091625</x:v>
      </x:c>
      <x:c r="M4" s="35" t="n">
        <x:v>1.7849465372504039</x:v>
      </x:c>
      <x:c r="N4" s="35" t="n">
        <x:v>1.6964641701932472</x:v>
      </x:c>
    </x:row>
    <x:row r="5">
      <x:c r="A5" s="30" t="str">
        <x:v>Long</x:v>
      </x:c>
      <x:c r="B5" s="33" t="n">
        <x:v>200</x:v>
      </x:c>
      <x:c r="C5" s="34" t="n">
        <x:v>1</x:v>
      </x:c>
      <x:c r="D5" s="34" t="n">
        <x:v>1</x:v>
      </x:c>
      <x:c r="E5" s="34" t="n">
        <x:v>0.76</x:v>
      </x:c>
      <x:c r="F5" s="35" t="n">
        <x:v>0.9350028863140792</x:v>
      </x:c>
      <x:c r="G5" s="35" t="n">
        <x:v>10.169449999999706</x:v>
      </x:c>
      <x:c r="H5" s="35" t="n">
        <x:v>0.6847981783012254</x:v>
      </x:c>
      <x:c r="I5" s="35" t="n">
        <x:v>1.4674715071604958</x:v>
      </x:c>
      <x:c r="J5" s="35" t="n">
        <x:v>0.9818942169915187</x:v>
      </x:c>
      <x:c r="K5" s="35" t="n">
        <x:v>0.01720910761309016</x:v>
      </x:c>
      <x:c r="L5" s="35" t="n">
        <x:v>0.9199760558118026</x:v>
      </x:c>
      <x:c r="M5" s="35" t="n">
        <x:v>0.28242273203954427</x:v>
      </x:c>
      <x:c r="N5" s="35" t="n">
        <x:v>0.2757409464338545</x:v>
      </x:c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</x:row>
    <x:row r="8">
      <x:c r="A8" s="57" t="str">
        <x:v>Device</x:v>
      </x:c>
      <x:c r="B8" s="57" t="str">
        <x:v>Lg_um</x:v>
      </x:c>
      <x:c r="C8" s="57" t="str">
        <x:v>Cases</x:v>
      </x:c>
      <x:c r="D8" s="57" t="str">
        <x:v>Actual Practical</x:v>
      </x:c>
      <x:c r="E8" s="57" t="str">
        <x:v>Target-window pass</x:v>
      </x:c>
      <x:c r="F8" s="57" t="str">
        <x:v>Vth MAE_mV</x:v>
      </x:c>
      <x:c r="G8" s="57" t="str">
        <x:v>SS MAE</x:v>
      </x:c>
      <x:c r="H8" s="57" t="str">
        <x:v>Ion logMAE</x:v>
      </x:c>
      <x:c r="I8" s="57" t="str">
        <x:v>Ioff logMAE</x:v>
      </x:c>
      <x:c r="J8" s="57" t="str">
        <x:v>OnOff logMAE</x:v>
      </x:c>
      <x:c r="K8" s="27"/>
      <x:c r="L8" s="27"/>
      <x:c r="M8" s="27"/>
      <x:c r="N8" s="27"/>
    </x:row>
    <x:row r="9">
      <x:c r="A9" s="31" t="str">
        <x:v>Short</x:v>
      </x:c>
      <x:c r="B9" s="35" t="n">
        <x:v>0.065</x:v>
      </x:c>
      <x:c r="C9" s="33" t="n">
        <x:v>50</x:v>
      </x:c>
      <x:c r="D9" s="34" t="n">
        <x:v>0.9</x:v>
      </x:c>
      <x:c r="E9" s="34" t="n">
        <x:v>0.1</x:v>
      </x:c>
      <x:c r="F9" s="35" t="n">
        <x:v>58.19146666666678</x:v>
      </x:c>
      <x:c r="G9" s="35" t="n">
        <x:v>22.64729140185357</x:v>
      </x:c>
      <x:c r="H9" s="35" t="n">
        <x:v>0.11549389707258541</x:v>
      </x:c>
      <x:c r="I9" s="35" t="n">
        <x:v>1.7161640214974292</x:v>
      </x:c>
      <x:c r="J9" s="35" t="n">
        <x:v>1.6369886507206166</x:v>
      </x:c>
      <x:c r="K9" s="27"/>
      <x:c r="L9" s="27"/>
      <x:c r="M9" s="27"/>
      <x:c r="N9" s="27"/>
    </x:row>
    <x:row r="10">
      <x:c r="A10" s="31" t="str">
        <x:v>Short</x:v>
      </x:c>
      <x:c r="B10" s="35" t="n">
        <x:v>0.09</x:v>
      </x:c>
      <x:c r="C10" s="33" t="n">
        <x:v>50</x:v>
      </x:c>
      <x:c r="D10" s="34" t="n">
        <x:v>0.86</x:v>
      </x:c>
      <x:c r="E10" s="34" t="n">
        <x:v>0.08</x:v>
      </x:c>
      <x:c r="F10" s="35" t="n">
        <x:v>112.02759999999998</x:v>
      </x:c>
      <x:c r="G10" s="35" t="n">
        <x:v>23.796285365927698</x:v>
      </x:c>
      <x:c r="H10" s="35" t="n">
        <x:v>0.1349971310247032</x:v>
      </x:c>
      <x:c r="I10" s="35" t="n">
        <x:v>1.853729053003379</x:v>
      </x:c>
      <x:c r="J10" s="35" t="n">
        <x:v>1.7559396896658779</x:v>
      </x:c>
      <x:c r="K10" s="27"/>
      <x:c r="L10" s="27"/>
      <x:c r="M10" s="27"/>
      <x:c r="N10" s="27"/>
    </x:row>
    <x:row r="11">
      <x:c r="A11" s="31" t="str">
        <x:v>Long</x:v>
      </x:c>
      <x:c r="B11" s="35" t="n">
        <x:v>0.18</x:v>
      </x:c>
      <x:c r="C11" s="33" t="n">
        <x:v>50</x:v>
      </x:c>
      <x:c r="D11" s="34" t="n">
        <x:v>1</x:v>
      </x:c>
      <x:c r="E11" s="34" t="n">
        <x:v>0.16</x:v>
      </x:c>
      <x:c r="F11" s="35" t="n">
        <x:v>20.32653333333335</x:v>
      </x:c>
      <x:c r="G11" s="35" t="n">
        <x:v>3.2580973046556743</x:v>
      </x:c>
      <x:c r="H11" s="35" t="n">
        <x:v>0.023819261797402742</x:v>
      </x:c>
      <x:c r="I11" s="35" t="n">
        <x:v>0.8659500794215391</x:v>
      </x:c>
      <x:c r="J11" s="35" t="n">
        <x:v>0.8422662311663367</x:v>
      </x:c>
      <x:c r="K11" s="27"/>
      <x:c r="L11" s="27"/>
      <x:c r="M11" s="27"/>
      <x:c r="N11" s="27"/>
    </x:row>
    <x:row r="12">
      <x:c r="A12" s="31" t="str">
        <x:v>Long</x:v>
      </x:c>
      <x:c r="B12" s="35" t="n">
        <x:v>0.36</x:v>
      </x:c>
      <x:c r="C12" s="33" t="n">
        <x:v>50</x:v>
      </x:c>
      <x:c r="D12" s="34" t="n">
        <x:v>1</x:v>
      </x:c>
      <x:c r="E12" s="34" t="n">
        <x:v>0.9</x:v>
      </x:c>
      <x:c r="F12" s="35" t="n">
        <x:v>9.193066666666443</x:v>
      </x:c>
      <x:c r="G12" s="35" t="n">
        <x:v>0.2874674972765834</x:v>
      </x:c>
      <x:c r="H12" s="35" t="n">
        <x:v>0.018971213649374655</x:v>
      </x:c>
      <x:c r="I12" s="35" t="n">
        <x:v>0.11167988176326346</x:v>
      </x:c>
      <x:c r="J12" s="35" t="n">
        <x:v>0.10239789325959986</x:v>
      </x:c>
      <x:c r="K12" s="27"/>
      <x:c r="L12" s="27"/>
      <x:c r="M12" s="27"/>
      <x:c r="N12" s="27"/>
    </x:row>
    <x:row r="13">
      <x:c r="A13" s="31" t="str">
        <x:v>Long</x:v>
      </x:c>
      <x:c r="B13" s="35" t="n">
        <x:v>0.72</x:v>
      </x:c>
      <x:c r="C13" s="33" t="n">
        <x:v>50</x:v>
      </x:c>
      <x:c r="D13" s="34" t="n">
        <x:v>1</x:v>
      </x:c>
      <x:c r="E13" s="34" t="n">
        <x:v>1</x:v>
      </x:c>
      <x:c r="F13" s="35" t="n">
        <x:v>4.298666666665964</x:v>
      </x:c>
      <x:c r="G13" s="35" t="n">
        <x:v>0.4245274048299214</x:v>
      </x:c>
      <x:c r="H13" s="35" t="n">
        <x:v>0.015988005465968333</x:v>
      </x:c>
      <x:c r="I13" s="35" t="n">
        <x:v>0.05611775483033529</x:v>
      </x:c>
      <x:c r="J13" s="35" t="n">
        <x:v>0.06200478979532939</x:v>
      </x:c>
      <x:c r="K13" s="27"/>
      <x:c r="L13" s="27"/>
      <x:c r="M13" s="27"/>
      <x:c r="N13" s="27"/>
    </x:row>
    <x:row r="14">
      <x:c r="A14" s="31" t="str">
        <x:v>Long</x:v>
      </x:c>
      <x:c r="B14" s="35" t="n">
        <x:v>1</x:v>
      </x:c>
      <x:c r="C14" s="33" t="n">
        <x:v>50</x:v>
      </x:c>
      <x:c r="D14" s="34" t="n">
        <x:v>1</x:v>
      </x:c>
      <x:c r="E14" s="34" t="n">
        <x:v>0.98</x:v>
      </x:c>
      <x:c r="F14" s="35" t="n">
        <x:v>6.8595333333330695</x:v>
      </x:c>
      <x:c r="G14" s="35" t="n">
        <x:v>1.8997938218798043</x:v>
      </x:c>
      <x:c r="H14" s="35" t="n">
        <x:v>0.01005794953961491</x:v>
      </x:c>
      <x:c r="I14" s="35" t="n">
        <x:v>0.09594321214303914</x:v>
      </x:c>
      <x:c r="J14" s="35" t="n">
        <x:v>0.09629487151415211</x:v>
      </x:c>
      <x:c r="K14" s="27"/>
      <x:c r="L14" s="27"/>
      <x:c r="M14" s="27"/>
      <x:c r="N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</x:row>
    <x:row r="17">
      <x:c r="A17" s="58" t="str">
        <x:v>Short Practical failures</x:v>
      </x:c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27"/>
      <x:c r="M17" s="27"/>
      <x:c r="N17" s="27"/>
    </x:row>
    <x:row r="18">
      <x:c r="A18" s="59" t="str">
        <x:v>CaseID</x:v>
      </x:c>
      <x:c r="B18" s="59" t="str">
        <x:v>RecipeID</x:v>
      </x:c>
      <x:c r="C18" s="59" t="str">
        <x:v>Lg_um</x:v>
      </x:c>
      <x:c r="D18" s="59" t="str">
        <x:v>Failure reason</x:v>
      </x:c>
      <x:c r="E18" s="59" t="str">
        <x:v>Actual Vth</x:v>
      </x:c>
      <x:c r="F18" s="59" t="str">
        <x:v>Actual SS</x:v>
      </x:c>
      <x:c r="G18" s="59" t="str">
        <x:v>Actual Ion</x:v>
      </x:c>
      <x:c r="H18" s="59" t="str">
        <x:v>Actual Ioff</x:v>
      </x:c>
      <x:c r="I18" s="59" t="str">
        <x:v>Actual OnOff</x:v>
      </x:c>
      <x:c r="J18" s="59" t="str">
        <x:v>Pred Ioff</x:v>
      </x:c>
      <x:c r="K18" s="59" t="str">
        <x:v>Ioff error_dec</x:v>
      </x:c>
      <x:c r="L18" s="27"/>
      <x:c r="M18" s="27"/>
      <x:c r="N18" s="27"/>
    </x:row>
    <x:row r="19">
      <x:c r="A19" s="60" t="str">
        <x:v>S065-10</x:v>
      </x:c>
      <x:c r="B19" s="60" t="str">
        <x:v>R010</x:v>
      </x:c>
      <x:c r="C19" s="61" t="n">
        <x:v>0.065</x:v>
      </x:c>
      <x:c r="D19" s="60" t="str">
        <x:v>SS, Ioff</x:v>
      </x:c>
      <x:c r="E19" s="61" t="n">
        <x:v>0.504</x:v>
      </x:c>
      <x:c r="F19" s="61" t="n">
        <x:v>302.931</x:v>
      </x:c>
      <x:c r="G19" s="62" t="n">
        <x:v>0.002475</x:v>
      </x:c>
      <x:c r="H19" s="62" t="n">
        <x:v>0.00006746</x:v>
      </x:c>
      <x:c r="I19" s="62" t="n">
        <x:v>36.688407945449164</x:v>
      </x:c>
      <x:c r="J19" s="62" t="n">
        <x:v>7.994162838844602e-12</x:v>
      </x:c>
      <x:c r="K19" s="61" t="n">
        <x:v>6.926273346382765</x:v>
      </x:c>
      <x:c r="L19" s="27"/>
      <x:c r="M19" s="27"/>
      <x:c r="N19" s="27"/>
    </x:row>
    <x:row r="20">
      <x:c r="A20" s="60" t="str">
        <x:v>S090-08</x:v>
      </x:c>
      <x:c r="B20" s="60" t="str">
        <x:v>R057</x:v>
      </x:c>
      <x:c r="C20" s="61" t="n">
        <x:v>0.09</x:v>
      </x:c>
      <x:c r="D20" s="60" t="str">
        <x:v>Ioff</x:v>
      </x:c>
      <x:c r="E20" s="61" t="n">
        <x:v>0.509</x:v>
      </x:c>
      <x:c r="F20" s="61" t="n">
        <x:v>172.351</x:v>
      </x:c>
      <x:c r="G20" s="62" t="n">
        <x:v>0.00196</x:v>
      </x:c>
      <x:c r="H20" s="62" t="n">
        <x:v>0.00001351</x:v>
      </x:c>
      <x:c r="I20" s="62" t="n">
        <x:v>145.0777202072539</x:v>
      </x:c>
      <x:c r="J20" s="62" t="n">
        <x:v>1.4605510041976973e-12</x:v>
      </x:c>
      <x:c r="K20" s="61" t="n">
        <x:v>6.966138621362005</x:v>
      </x:c>
      <x:c r="L20" s="27"/>
      <x:c r="M20" s="27"/>
      <x:c r="N20" s="27"/>
    </x:row>
    <x:row r="21">
      <x:c r="A21" s="60" t="str">
        <x:v>S090-30</x:v>
      </x:c>
      <x:c r="B21" s="60" t="str">
        <x:v>R079</x:v>
      </x:c>
      <x:c r="C21" s="61" t="n">
        <x:v>0.09</x:v>
      </x:c>
      <x:c r="D21" s="60" t="str">
        <x:v>SS, Ioff</x:v>
      </x:c>
      <x:c r="E21" s="61" t="n">
        <x:v>0.457</x:v>
      </x:c>
      <x:c r="F21" s="61" t="n">
        <x:v>320.774</x:v>
      </x:c>
      <x:c r="G21" s="62" t="n">
        <x:v>0.002083</x:v>
      </x:c>
      <x:c r="H21" s="62" t="n">
        <x:v>0.00008599</x:v>
      </x:c>
      <x:c r="I21" s="62" t="n">
        <x:v>24.22374694731946</x:v>
      </x:c>
      <x:c r="J21" s="62" t="n">
        <x:v>3.2541810413301364e-11</x:v>
      </x:c>
      <x:c r="K21" s="61" t="n">
        <x:v>6.422006238374086</x:v>
      </x:c>
      <x:c r="L21" s="27"/>
      <x:c r="M21" s="27"/>
      <x:c r="N21" s="27"/>
    </x:row>
    <x:row r="22">
      <x:c r="A22" s="60" t="str">
        <x:v>S065-13</x:v>
      </x:c>
      <x:c r="B22" s="60" t="str">
        <x:v>R013</x:v>
      </x:c>
      <x:c r="C22" s="61" t="n">
        <x:v>0.065</x:v>
      </x:c>
      <x:c r="D22" s="60" t="str">
        <x:v>Ioff</x:v>
      </x:c>
      <x:c r="E22" s="61" t="n">
        <x:v>0.548</x:v>
      </x:c>
      <x:c r="F22" s="61" t="n">
        <x:v>187.329</x:v>
      </x:c>
      <x:c r="G22" s="62" t="n">
        <x:v>0.002217</x:v>
      </x:c>
      <x:c r="H22" s="62" t="n">
        <x:v>0.000009726</x:v>
      </x:c>
      <x:c r="I22" s="62" t="n">
        <x:v>227.94571252313386</x:v>
      </x:c>
      <x:c r="J22" s="62" t="n">
        <x:v>1.4512907321462608e-11</x:v>
      </x:c>
      <x:c r="K22" s="61" t="n">
        <x:v>5.826179843339542</x:v>
      </x:c>
      <x:c r="L22" s="27"/>
      <x:c r="M22" s="27"/>
      <x:c r="N22" s="27"/>
    </x:row>
    <x:row r="23">
      <x:c r="A23" s="60" t="str">
        <x:v>S065-14</x:v>
      </x:c>
      <x:c r="B23" s="60" t="str">
        <x:v>R014</x:v>
      </x:c>
      <x:c r="C23" s="61" t="n">
        <x:v>0.065</x:v>
      </x:c>
      <x:c r="D23" s="60" t="str">
        <x:v>SS, Ioff</x:v>
      </x:c>
      <x:c r="E23" s="61" t="n">
        <x:v>0.54</x:v>
      </x:c>
      <x:c r="F23" s="61" t="n">
        <x:v>430.916</x:v>
      </x:c>
      <x:c r="G23" s="62" t="n">
        <x:v>0.002592</x:v>
      </x:c>
      <x:c r="H23" s="62" t="n">
        <x:v>0.0001262</x:v>
      </x:c>
      <x:c r="I23" s="62" t="n">
        <x:v>20.538827258320126</x:v>
      </x:c>
      <x:c r="J23" s="62" t="n">
        <x:v>2.656767648308905e-8</x:v>
      </x:c>
      <x:c r="K23" s="61" t="n">
        <x:v>3.6767057807273273</x:v>
      </x:c>
      <x:c r="L23" s="27"/>
      <x:c r="M23" s="27"/>
      <x:c r="N23" s="27"/>
    </x:row>
    <x:row r="24">
      <x:c r="A24" s="60" t="str">
        <x:v>S090-42</x:v>
      </x:c>
      <x:c r="B24" s="60" t="str">
        <x:v>R091</x:v>
      </x:c>
      <x:c r="C24" s="61" t="n">
        <x:v>0.09</x:v>
      </x:c>
      <x:c r="D24" s="60" t="str">
        <x:v>SS, Ioff</x:v>
      </x:c>
      <x:c r="E24" s="61" t="n">
        <x:v>0.456</x:v>
      </x:c>
      <x:c r="F24" s="61" t="n">
        <x:v>357.699</x:v>
      </x:c>
      <x:c r="G24" s="62" t="n">
        <x:v>0.00201</x:v>
      </x:c>
      <x:c r="H24" s="62" t="n">
        <x:v>0.00009013</x:v>
      </x:c>
      <x:c r="I24" s="62" t="n">
        <x:v>22.301120603572617</x:v>
      </x:c>
      <x:c r="J24" s="62" t="n">
        <x:v>3.760755371871328e-8</x:v>
      </x:c>
      <x:c r="K24" s="61" t="n">
        <x:v>3.379594286541095</x:v>
      </x:c>
      <x:c r="L24" s="27"/>
      <x:c r="M24" s="27"/>
      <x:c r="N24" s="27"/>
    </x:row>
    <x:row r="25">
      <x:c r="A25" s="60" t="str">
        <x:v>S090-28</x:v>
      </x:c>
      <x:c r="B25" s="60" t="str">
        <x:v>R077</x:v>
      </x:c>
      <x:c r="C25" s="61" t="n">
        <x:v>0.09</x:v>
      </x:c>
      <x:c r="D25" s="60" t="str">
        <x:v>Vth</x:v>
      </x:c>
      <x:c r="E25" s="61" t="n">
        <x:v>1.502</x:v>
      </x:c>
      <x:c r="F25" s="61" t="n">
        <x:v>100.711</x:v>
      </x:c>
      <x:c r="G25" s="62" t="n">
        <x:v>0.0002783</x:v>
      </x:c>
      <x:c r="H25" s="62" t="n">
        <x:v>1.621e-15</x:v>
      </x:c>
      <x:c r="I25" s="62" t="n">
        <x:v>171684145589.14252</x:v>
      </x:c>
      <x:c r="J25" s="62" t="n">
        <x:v>4.785655500043704e-12</x:v>
      </x:c>
      <x:c r="K25" s="61" t="n">
        <x:v>3.470158417453355</x:v>
      </x:c>
      <x:c r="L25" s="27"/>
      <x:c r="M25" s="27"/>
      <x:c r="N25" s="27"/>
    </x:row>
    <x:row r="26">
      <x:c r="A26" s="60" t="str">
        <x:v>S090-31</x:v>
      </x:c>
      <x:c r="B26" s="60" t="str">
        <x:v>R080</x:v>
      </x:c>
      <x:c r="C26" s="61" t="n">
        <x:v>0.09</x:v>
      </x:c>
      <x:c r="D26" s="60" t="str">
        <x:v>SS, Ioff</x:v>
      </x:c>
      <x:c r="E26" s="61" t="n">
        <x:v>0.496</x:v>
      </x:c>
      <x:c r="F26" s="61" t="n">
        <x:v>255.846</x:v>
      </x:c>
      <x:c r="G26" s="62" t="n">
        <x:v>0.00189</x:v>
      </x:c>
      <x:c r="H26" s="62" t="n">
        <x:v>0.00003812</x:v>
      </x:c>
      <x:c r="I26" s="62" t="n">
        <x:v>49.580272822665265</x:v>
      </x:c>
      <x:c r="J26" s="62" t="n">
        <x:v>6.56767321101167e-8</x:v>
      </x:c>
      <x:c r="K26" s="61" t="n">
        <x:v>2.7637413565919866</x:v>
      </x:c>
      <x:c r="L26" s="27"/>
      <x:c r="M26" s="27"/>
      <x:c r="N26" s="27"/>
    </x:row>
    <x:row r="27">
      <x:c r="A27" s="60" t="str">
        <x:v>S090-02</x:v>
      </x:c>
      <x:c r="B27" s="60" t="str">
        <x:v>R051</x:v>
      </x:c>
      <x:c r="C27" s="61" t="n">
        <x:v>0.09</x:v>
      </x:c>
      <x:c r="D27" s="60" t="str">
        <x:v>Vth</x:v>
      </x:c>
      <x:c r="E27" s="61" t="n">
        <x:v>1.551</x:v>
      </x:c>
      <x:c r="F27" s="61" t="n">
        <x:v>99.262</x:v>
      </x:c>
      <x:c r="G27" s="62" t="n">
        <x:v>0.0002529</x:v>
      </x:c>
      <x:c r="H27" s="62" t="n">
        <x:v>8.263e-16</x:v>
      </x:c>
      <x:c r="I27" s="62" t="n">
        <x:v>306063173181.65314</x:v>
      </x:c>
      <x:c r="J27" s="62" t="n">
        <x:v>7.226790178771475e-13</x:v>
      </x:c>
      <x:c r="K27" s="61" t="n">
        <x:v>2.941807692922602</x:v>
      </x:c>
      <x:c r="L27" s="27"/>
      <x:c r="M27" s="27"/>
      <x:c r="N27" s="27"/>
    </x:row>
    <x:row r="28">
      <x:c r="A28" s="60" t="str">
        <x:v>S090-19</x:v>
      </x:c>
      <x:c r="B28" s="60" t="str">
        <x:v>R068</x:v>
      </x:c>
      <x:c r="C28" s="61" t="n">
        <x:v>0.09</x:v>
      </x:c>
      <x:c r="D28" s="60" t="str">
        <x:v>Ioff</x:v>
      </x:c>
      <x:c r="E28" s="61" t="n">
        <x:v>0.518</x:v>
      </x:c>
      <x:c r="F28" s="61" t="n">
        <x:v>150.243</x:v>
      </x:c>
      <x:c r="G28" s="62" t="n">
        <x:v>0.001793</x:v>
      </x:c>
      <x:c r="H28" s="62" t="n">
        <x:v>0.000004727</x:v>
      </x:c>
      <x:c r="I28" s="62" t="n">
        <x:v>379.3103448275862</x:v>
      </x:c>
      <x:c r="J28" s="62" t="n">
        <x:v>1.4897794613304455e-8</x:v>
      </x:c>
      <x:c r="K28" s="61" t="n">
        <x:v>2.501463619673297</x:v>
      </x:c>
      <x:c r="L28" s="27"/>
      <x:c r="M28" s="27"/>
      <x:c r="N28" s="27"/>
    </x:row>
    <x:row r="29">
      <x:c r="A29" s="60" t="str">
        <x:v>S065-03</x:v>
      </x:c>
      <x:c r="B29" s="60" t="str">
        <x:v>R003</x:v>
      </x:c>
      <x:c r="C29" s="61" t="n">
        <x:v>0.065</x:v>
      </x:c>
      <x:c r="D29" s="60" t="str">
        <x:v>Ioff</x:v>
      </x:c>
      <x:c r="E29" s="61" t="n">
        <x:v>0.493</x:v>
      </x:c>
      <x:c r="F29" s="61" t="n">
        <x:v>167.118</x:v>
      </x:c>
      <x:c r="G29" s="62" t="n">
        <x:v>0.001934</x:v>
      </x:c>
      <x:c r="H29" s="62" t="n">
        <x:v>0.00001034</x:v>
      </x:c>
      <x:c r="I29" s="62" t="n">
        <x:v>187.04061895551257</x:v>
      </x:c>
      <x:c r="J29" s="62" t="n">
        <x:v>6.972108619472491e-8</x:v>
      </x:c>
      <x:c r="K29" s="61" t="n">
        <x:v>2.171156394331719</x:v>
      </x:c>
      <x:c r="L29" s="27"/>
      <x:c r="M29" s="27"/>
      <x:c r="N29" s="27"/>
    </x:row>
    <x:row r="30">
      <x:c r="A30" s="60" t="str">
        <x:v>S065-35</x:v>
      </x:c>
      <x:c r="B30" s="60" t="str">
        <x:v>R035</x:v>
      </x:c>
      <x:c r="C30" s="61" t="n">
        <x:v>0.065</x:v>
      </x:c>
      <x:c r="D30" s="60" t="str">
        <x:v>Ioff</x:v>
      </x:c>
      <x:c r="E30" s="61" t="n">
        <x:v>0.435</x:v>
      </x:c>
      <x:c r="F30" s="61" t="n">
        <x:v>139.607</x:v>
      </x:c>
      <x:c r="G30" s="62" t="n">
        <x:v>0.0005978</x:v>
      </x:c>
      <x:c r="H30" s="62" t="n">
        <x:v>0.000001198</x:v>
      </x:c>
      <x:c r="I30" s="62" t="n">
        <x:v>498.9983305509182</x:v>
      </x:c>
      <x:c r="J30" s="62" t="n">
        <x:v>1.1582411648100595e-8</x:v>
      </x:c>
      <x:c r="K30" s="61" t="n">
        <x:v>2.0146578220111433</x:v>
      </x:c>
      <x:c r="L30" s="27"/>
      <x:c r="M30" s="27"/>
      <x:c r="N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</x:row>
    <x:row r="40">
      <x:c r="A40" s="63" t="str">
        <x:v>해석</x:v>
      </x:c>
      <x:c r="B40" s="63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</x:row>
    <x:row r="41">
      <x:c r="A41" s="64" t="str">
        <x:v>Actual Practical</x:v>
      </x:c>
      <x:c r="B41" s="38" t="str">
        <x:v>TCAD 실제값이 Vth 0.3–1.2 V, SS≤200, Ion≥1E-4, Ioff≤1E-6를 모두 만족 (OnOff 제외)</x:v>
      </x:c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</x:row>
    <x:row r="42">
      <x:c r="A42" s="64" t="str">
        <x:v>Target-window pass</x:v>
      </x:c>
      <x:c r="B42" s="38" t="str">
        <x:v>각 케이스의 좁은 목표 Min–Max를 네 지표가 동시에 만족</x:v>
      </x:c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</x:row>
    <x:row r="43">
      <x:c r="A43" s="64" t="str">
        <x:v>logMAE</x:v>
      </x:c>
      <x:c r="B43" s="38" t="str">
        <x:v>평균 자릿수 오차. 값 d는 평균적으로 약 10^d 배 차이를 뜻함</x:v>
      </x:c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</x:row>
    <x:row r="44">
      <x:c r="A44" s="64" t="str">
        <x:v>주의</x:v>
      </x:c>
      <x:c r="B44" s="38" t="str">
        <x:v>동일 RecipeID가 여러 목표 케이스에 사용되면 TCAD 결과는 재사용되며 케이스 기준 통계에 반복 반영됨</x:v>
      </x:c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</x:row>
  </x:sheetData>
  <x:mergeCells>
    <x:mergeCell ref="A1:N1"/>
    <x:mergeCell ref="A17:K17"/>
    <x:mergeCell ref="B40:N40"/>
    <x:mergeCell ref="B41:N41"/>
    <x:mergeCell ref="B42:N42"/>
    <x:mergeCell ref="B43:N43"/>
    <x:mergeCell ref="B44:N44"/>
  </x:mergeCells>
  <x:conditionalFormatting sqref="D19:D30">
    <x:cfRule type="containsText" dxfId="0" priority="1" operator="containsText" text="Ioff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사용 순서</x:v>
      </x:c>
      <x:c r="B1" s="2"/>
      <x:c r="C1" s="2"/>
      <x:c r="D1" s="2"/>
      <x:c r="E1" s="2"/>
      <x:c r="F1" s="2"/>
      <x:c r="G1" s="2"/>
      <x:c r="H1" s="2"/>
    </x:row>
    <x:row r="2">
      <x:c r="A2" s="71"/>
      <x:c r="B2" s="71"/>
      <x:c r="C2" s="71"/>
      <x:c r="D2" s="71"/>
      <x:c r="E2" s="71"/>
      <x:c r="F2" s="71"/>
      <x:c r="G2" s="71"/>
      <x:c r="H2" s="71"/>
    </x:row>
    <x:row r="3" ht="31" customHeight="1">
      <x:c r="A3" s="72" t="str">
        <x:v>1</x:v>
      </x:c>
      <x:c r="B3" s="73" t="str">
        <x:v>Short_TCAD와 Long_TCAD의 고유 레시피를 Sentaurus Workbench에 입력합니다.</x:v>
      </x:c>
      <x:c r="C3" s="73"/>
      <x:c r="D3" s="73"/>
      <x:c r="E3" s="73"/>
      <x:c r="F3" s="73"/>
      <x:c r="G3" s="73"/>
      <x:c r="H3" s="73"/>
    </x:row>
    <x:row r="4" ht="31" customHeight="1">
      <x:c r="A4" s="72" t="str">
        <x:v>2</x:v>
      </x:c>
      <x:c r="B4" s="73" t="str">
        <x:v>Short는 99개, Long은 175개 고유 레시피만 실행하면 됩니다.</x:v>
      </x:c>
      <x:c r="C4" s="73"/>
      <x:c r="D4" s="73"/>
      <x:c r="E4" s="73"/>
      <x:c r="F4" s="73"/>
      <x:c r="G4" s="73"/>
      <x:c r="H4" s="73"/>
    </x:row>
    <x:row r="5" ht="31" customHeight="1">
      <x:c r="A5" s="72" t="str">
        <x:v>3</x:v>
      </x:c>
      <x:c r="B5" s="73" t="str">
        <x:v>각 레시피에서 Vd=0.05 V의 Vth·SS와 Vd=1.0 V의 Ion·Ioff를 추출합니다.</x:v>
      </x:c>
      <x:c r="C5" s="73"/>
      <x:c r="D5" s="73"/>
      <x:c r="E5" s="73"/>
      <x:c r="F5" s="73"/>
      <x:c r="G5" s="73"/>
      <x:c r="H5" s="73"/>
    </x:row>
    <x:row r="6" ht="31" customHeight="1">
      <x:c r="A6" s="72" t="str">
        <x:v>4</x:v>
      </x:c>
      <x:c r="B6" s="73" t="str">
        <x:v>각 TCAD 시트의 노란색 결과 열에 실제값을 입력합니다.</x:v>
      </x:c>
      <x:c r="C6" s="73"/>
      <x:c r="D6" s="73"/>
      <x:c r="E6" s="73"/>
      <x:c r="F6" s="73"/>
      <x:c r="G6" s="73"/>
      <x:c r="H6" s="73"/>
    </x:row>
    <x:row r="7" ht="31" customHeight="1">
      <x:c r="A7" s="72" t="str">
        <x:v>5</x:v>
      </x:c>
      <x:c r="B7" s="73" t="str">
        <x:v>Short_Cases와 Long_Cases가 RecipeID 기준으로 실제값을 자동 연결합니다.</x:v>
      </x:c>
      <x:c r="C7" s="73"/>
      <x:c r="D7" s="73"/>
      <x:c r="E7" s="73"/>
      <x:c r="F7" s="73"/>
      <x:c r="G7" s="73"/>
      <x:c r="H7" s="73"/>
    </x:row>
    <x:row r="8" ht="31" customHeight="1">
      <x:c r="A8" s="72" t="str">
        <x:v>6</x:v>
      </x:c>
      <x:c r="B8" s="73" t="str">
        <x:v>핵심 평가는 Predicted vs TCAD 오차입니다. AI열은 실제 결과가 Practical 기준을 만족하는지도 표시합니다.</x:v>
      </x:c>
      <x:c r="C8" s="73"/>
      <x:c r="D8" s="73"/>
      <x:c r="E8" s="73"/>
      <x:c r="F8" s="73"/>
      <x:c r="G8" s="73"/>
      <x:c r="H8" s="73"/>
    </x:row>
    <x:row r="9" ht="31" customHeight="1">
      <x:c r="A9" s="72" t="str">
        <x:v>7</x:v>
      </x:c>
      <x:c r="B9" s="73" t="str">
        <x:v>레시피가 여러 CaseID에 공유되면 같은 TCAD 결과를 여러 목표 검증에 재사용합니다.</x:v>
      </x:c>
      <x:c r="C9" s="73"/>
      <x:c r="D9" s="73"/>
      <x:c r="E9" s="73"/>
      <x:c r="F9" s="73"/>
      <x:c r="G9" s="73"/>
      <x:c r="H9" s="73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4" hidden="0" customWidth="1"/>
  </x:cols>
  <x:sheetData>
    <x:row r="1" ht="42" customHeight="1">
      <x:c r="A1" s="87" t="str">
        <x:v>CaseID</x:v>
      </x:c>
      <x:c r="B1" s="87" t="str">
        <x:v>RecipeID</x:v>
      </x:c>
      <x:c r="C1" s="87" t="str">
        <x:v>Lg_um</x:v>
      </x:c>
      <x:c r="D1" s="87" t="str">
        <x:v>CaseType</x:v>
      </x:c>
      <x:c r="E1" s="87" t="str">
        <x:v>ToleranceScale</x:v>
      </x:c>
      <x:c r="F1" s="87" t="str">
        <x:v>FeasibleCandidates</x:v>
      </x:c>
      <x:c r="G1" s="88" t="str">
        <x:v>Vth_Target_V</x:v>
      </x:c>
      <x:c r="H1" s="88" t="str">
        <x:v>SS_Target_mVdec</x:v>
      </x:c>
      <x:c r="I1" s="88" t="str">
        <x:v>Ion_Target_A</x:v>
      </x:c>
      <x:c r="J1" s="88" t="str">
        <x:v>Ioff_Target_A</x:v>
      </x:c>
      <x:c r="K1" s="88" t="str">
        <x:v>OnOff_Target</x:v>
      </x:c>
      <x:c r="L1" s="89" t="str">
        <x:v>LDD_Dose_cm-2</x:v>
      </x:c>
      <x:c r="M1" s="89" t="str">
        <x:v>LDD_Energy_keV</x:v>
      </x:c>
      <x:c r="N1" s="89" t="str">
        <x:v>SD_Dose_cm-2</x:v>
      </x:c>
      <x:c r="O1" s="89" t="str">
        <x:v>SD_Energy_keV</x:v>
      </x:c>
      <x:c r="P1" s="89" t="str">
        <x:v>Anneal_s</x:v>
      </x:c>
      <x:c r="Q1" s="89" t="str">
        <x:v>Halo_Dose_cm-2</x:v>
      </x:c>
      <x:c r="R1" s="89" t="str">
        <x:v>Halo_Energy_keV</x:v>
      </x:c>
      <x:c r="S1" s="89" t="str">
        <x:v>ValidProbability</x:v>
      </x:c>
      <x:c r="T1" s="90" t="str">
        <x:v>Pred_Vth_V</x:v>
      </x:c>
      <x:c r="U1" s="90" t="str">
        <x:v>Pred_SS_mVdec</x:v>
      </x:c>
      <x:c r="V1" s="90" t="str">
        <x:v>Pred_Ion_A</x:v>
      </x:c>
      <x:c r="W1" s="90" t="str">
        <x:v>Pred_Ioff_A</x:v>
      </x:c>
      <x:c r="X1" s="90" t="str">
        <x:v>Pred_OnOff</x:v>
      </x:c>
      <x:c r="Y1" s="91" t="str">
        <x:v>TCAD_Vth_V</x:v>
      </x:c>
      <x:c r="Z1" s="91" t="str">
        <x:v>TCAD_SS_mVdec</x:v>
      </x:c>
      <x:c r="AA1" s="91" t="str">
        <x:v>TCAD_Ion_A</x:v>
      </x:c>
      <x:c r="AB1" s="91" t="str">
        <x:v>TCAD_Ioff_A</x:v>
      </x:c>
      <x:c r="AC1" s="91" t="str">
        <x:v>TCAD_OnOff</x:v>
      </x:c>
      <x:c r="AD1" s="91" t="str">
        <x:v>AbsErr_Vth_mV</x:v>
      </x:c>
      <x:c r="AE1" s="91" t="str">
        <x:v>AbsErr_SS_mVdec</x:v>
      </x:c>
      <x:c r="AF1" s="91" t="str">
        <x:v>AbsErr_Ion_dec</x:v>
      </x:c>
      <x:c r="AG1" s="91" t="str">
        <x:v>AbsErr_Ioff_dec</x:v>
      </x:c>
      <x:c r="AH1" s="91" t="str">
        <x:v>AbsErr_OnOff_dec</x:v>
      </x:c>
      <x:c r="AI1" s="91" t="str">
        <x:v>Actual_Practical</x:v>
      </x:c>
      <x:c r="AJ1" s="92" t="str">
        <x:v>Notes</x:v>
      </x:c>
    </x:row>
    <x:row r="2">
      <x:c r="A2" s="85" t="str">
        <x:v>S065-01</x:v>
      </x:c>
      <x:c r="B2" s="85" t="str">
        <x:v>R001</x:v>
      </x:c>
      <x:c r="C2" s="93" t="n">
        <x:v>0.065</x:v>
      </x:c>
      <x:c r="D2" s="93" t="str">
        <x:v>Practical</x:v>
      </x:c>
      <x:c r="E2" s="93" t="n">
        <x:v>1</x:v>
      </x:c>
      <x:c r="F2" s="94" t="n">
        <x:v>9103</x:v>
      </x:c>
      <x:c r="G2" s="93" t="n">
        <x:v>0.5083090638363762</x:v>
      </x:c>
      <x:c r="H2" s="93" t="n">
        <x:v>79.5390614132652</x:v>
      </x:c>
      <x:c r="I2" s="95" t="n">
        <x:v>0.0004349657415225967</x:v>
      </x:c>
      <x:c r="J2" s="95" t="n">
        <x:v>9.542636440832576e-12</x:v>
      </x:c>
      <x:c r="K2" s="95" t="n">
        <x:v>45581296.55462875</x:v>
      </x:c>
      <x:c r="L2" s="95" t="n">
        <x:v>40142798461.5687</x:v>
      </x:c>
      <x:c r="M2" s="95" t="n">
        <x:v>5.728985902596869</x:v>
      </x:c>
      <x:c r="N2" s="95" t="n">
        <x:v>15310216188905.408</x:v>
      </x:c>
      <x:c r="O2" s="95" t="n">
        <x:v>7.274582123146199</x:v>
      </x:c>
      <x:c r="P2" s="93" t="n">
        <x:v>0.4874906821446736</x:v>
      </x:c>
      <x:c r="Q2" s="95" t="n">
        <x:v>1328751253652.328</x:v>
      </x:c>
      <x:c r="R2" s="95" t="n">
        <x:v>3.745769595143406</x:v>
      </x:c>
      <x:c r="S2" s="97" t="n">
        <x:v>0.9766666666666667</x:v>
      </x:c>
      <x:c r="T2" s="93" t="n">
        <x:v>0.5048866666666663</x:v>
      </x:c>
      <x:c r="U2" s="98" t="n">
        <x:v>80.74606722905233</x:v>
      </x:c>
      <x:c r="V2" s="95" t="n">
        <x:v>0.0005015703518252232</x:v>
      </x:c>
      <x:c r="W2" s="95" t="n">
        <x:v>9.771184242811955e-12</x:v>
      </x:c>
      <x:c r="X2" s="95" t="n">
        <x:v>51331582.67834289</x:v>
      </x:c>
      <x:c r="Y2" s="99" t="n">
        <x:f>IFERROR(IF(ISBLANK(INDEX('Short_TCAD'!$K$2:$K$100,MATCH(B2,'Short_TCAD'!$A$2:$A$100,0))),"",INDEX('Short_TCAD'!$K$2:$K$100,MATCH(B2,'Short_TCAD'!$A$2:$A$100,0))),"")</x:f>
        <x:v>0.501</x:v>
      </x:c>
      <x:c r="Z2" s="100" t="n">
        <x:f>IFERROR(IF(ISBLANK(INDEX('Short_TCAD'!$L$2:$L$100,MATCH(B2,'Short_TCAD'!$A$2:$A$100,0))),"",INDEX('Short_TCAD'!$L$2:$L$100,MATCH(B2,'Short_TCAD'!$A$2:$A$100,0))),"")</x:f>
        <x:v>78.678</x:v>
      </x:c>
      <x:c r="AA2" s="96" t="n">
        <x:f>IFERROR(IF(ISBLANK(INDEX('Short_TCAD'!$M$2:$M$100,MATCH(B2,'Short_TCAD'!$A$2:$A$100,0))),"",INDEX('Short_TCAD'!$M$2:$M$100,MATCH(B2,'Short_TCAD'!$A$2:$A$100,0))),"")</x:f>
        <x:v>0.0006662</x:v>
      </x:c>
      <x:c r="AB2" s="96" t="n">
        <x:f>IFERROR(IF(ISBLANK(INDEX('Short_TCAD'!$N$2:$N$100,MATCH(B2,'Short_TCAD'!$A$2:$A$100,0))),"",INDEX('Short_TCAD'!$N$2:$N$100,MATCH(B2,'Short_TCAD'!$A$2:$A$100,0))),"")</x:f>
        <x:v>6.305e-11</x:v>
      </x:c>
      <x:c r="AC2" s="95" t="n">
        <x:f>IF(OR(NOT(ISNUMBER(AA2)),NOT(ISNUMBER(AB2))),"",AA2/AB2)</x:f>
        <x:v>10566217.287866773</x:v>
      </x:c>
      <x:c r="AD2" s="93" t="n">
        <x:f>IF(NOT(ISNUMBER(Y2)),"",ABS(Y2-T2)*1000)</x:f>
        <x:v>3.886666666666261</x:v>
      </x:c>
      <x:c r="AE2" s="93" t="n">
        <x:f>IF(NOT(ISNUMBER(Z2)),"",ABS(Z2-U2))</x:f>
        <x:v>2.068067229052332</x:v>
      </x:c>
      <x:c r="AF2" s="93" t="n">
        <x:f>IF(NOT(ISNUMBER(AA2)),"",ABS(LOG10(AA2)-LOG10(V2)))</x:f>
        <x:v>0.12327277122478986</x:v>
      </x:c>
      <x:c r="AG2" s="93" t="n">
        <x:f>IF(NOT(ISNUMBER(AB2)),"",ABS(LOG10(AB2)-LOG10(W2)))</x:f>
        <x:v>0.8097378886078985</x:v>
      </x:c>
      <x:c r="AH2" s="93" t="n">
        <x:f>IF(NOT(ISNUMBER(AC2)),"",ABS(LOG10(AC2)-LOG10(X2)))</x:f>
        <x:v>0.6864651173830696</x:v>
      </x:c>
      <x:c r="AI2" s="85" t="str">
        <x:f>IF(OR(NOT(ISNUMBER(Y2)),NOT(ISNUMBER(Z2)),NOT(ISNUMBER(AA2)),NOT(ISNUMBER(AB2))),"",IF(AND(Y2&gt;=0.3,Y2&lt;=1.2,Z2&lt;=200,AA2&gt;=1E-4,AB2&lt;=1E-6),"PASS","FAIL"))</x:f>
        <x:v>PASS</x:v>
      </x:c>
      <x:c r="AJ2" s="85" t="str"/>
    </x:row>
    <x:row r="3">
      <x:c r="A3" s="85" t="str">
        <x:v>S065-02</x:v>
      </x:c>
      <x:c r="B3" s="85" t="str">
        <x:v>R002</x:v>
      </x:c>
      <x:c r="C3" s="93" t="n">
        <x:v>0.065</x:v>
      </x:c>
      <x:c r="D3" s="93" t="str">
        <x:v>Practical</x:v>
      </x:c>
      <x:c r="E3" s="93" t="n">
        <x:v>1</x:v>
      </x:c>
      <x:c r="F3" s="94" t="n">
        <x:v>1980</x:v>
      </x:c>
      <x:c r="G3" s="93" t="n">
        <x:v>0.7415985111581338</x:v>
      </x:c>
      <x:c r="H3" s="93" t="n">
        <x:v>78.76391060852033</x:v>
      </x:c>
      <x:c r="I3" s="95" t="n">
        <x:v>0.0018197925072076986</x:v>
      </x:c>
      <x:c r="J3" s="95" t="n">
        <x:v>7.398611387749862e-15</x:v>
      </x:c>
      <x:c r="K3" s="95" t="n">
        <x:v>245964061610.37085</x:v>
      </x:c>
      <x:c r="L3" s="95" t="n">
        <x:v>11973326093.028902</x:v>
      </x:c>
      <x:c r="M3" s="95" t="n">
        <x:v>14.21125133326118</x:v>
      </x:c>
      <x:c r="N3" s="95" t="n">
        <x:v>182123360151032.44</x:v>
      </x:c>
      <x:c r="O3" s="95" t="n">
        <x:v>7.555042659486076</x:v>
      </x:c>
      <x:c r="P3" s="93" t="n">
        <x:v>0.39200178286596743</x:v>
      </x:c>
      <x:c r="Q3" s="95" t="n">
        <x:v>57729744917782.89</x:v>
      </x:c>
      <x:c r="R3" s="95" t="n">
        <x:v>7.806783451306394</x:v>
      </x:c>
      <x:c r="S3" s="97" t="n">
        <x:v>0.9666666666666667</x:v>
      </x:c>
      <x:c r="T3" s="93" t="n">
        <x:v>0.7500899999999997</x:v>
      </x:c>
      <x:c r="U3" s="98" t="n">
        <x:v>80.32500269148379</x:v>
      </x:c>
      <x:c r="V3" s="95" t="n">
        <x:v>0.0014897900634076435</x:v>
      </x:c>
      <x:c r="W3" s="95" t="n">
        <x:v>7.705409988340782e-15</x:v>
      </x:c>
      <x:c r="X3" s="95" t="n">
        <x:v>193343386745.40045</x:v>
      </x:c>
      <x:c r="Y3" s="99" t="n">
        <x:f>IFERROR(IF(ISBLANK(INDEX('Short_TCAD'!$K$2:$K$100,MATCH(B3,'Short_TCAD'!$A$2:$A$100,0))),"",INDEX('Short_TCAD'!$K$2:$K$100,MATCH(B3,'Short_TCAD'!$A$2:$A$100,0))),"")</x:f>
        <x:v>0.757</x:v>
      </x:c>
      <x:c r="Z3" s="100" t="n">
        <x:f>IFERROR(IF(ISBLANK(INDEX('Short_TCAD'!$L$2:$L$100,MATCH(B3,'Short_TCAD'!$A$2:$A$100,0))),"",INDEX('Short_TCAD'!$L$2:$L$100,MATCH(B3,'Short_TCAD'!$A$2:$A$100,0))),"")</x:f>
        <x:v>77.685</x:v>
      </x:c>
      <x:c r="AA3" s="96" t="n">
        <x:f>IFERROR(IF(ISBLANK(INDEX('Short_TCAD'!$M$2:$M$100,MATCH(B3,'Short_TCAD'!$A$2:$A$100,0))),"",INDEX('Short_TCAD'!$M$2:$M$100,MATCH(B3,'Short_TCAD'!$A$2:$A$100,0))),"")</x:f>
        <x:v>0.001435</x:v>
      </x:c>
      <x:c r="AB3" s="96" t="n">
        <x:f>IFERROR(IF(ISBLANK(INDEX('Short_TCAD'!$N$2:$N$100,MATCH(B3,'Short_TCAD'!$A$2:$A$100,0))),"",INDEX('Short_TCAD'!$N$2:$N$100,MATCH(B3,'Short_TCAD'!$A$2:$A$100,0))),"")</x:f>
        <x:v>3.708e-15</x:v>
      </x:c>
      <x:c r="AC3" s="95" t="n">
        <x:f>IF(OR(NOT(ISNUMBER(AA3)),NOT(ISNUMBER(AB3))),"",AA3/AB3)</x:f>
        <x:v>387001078748.65155</x:v>
      </x:c>
      <x:c r="AD3" s="93" t="n">
        <x:f>IF(NOT(ISNUMBER(Y3)),"",ABS(Y3-T3)*1000)</x:f>
        <x:v>6.910000000000305</x:v>
      </x:c>
      <x:c r="AE3" s="93" t="n">
        <x:f>IF(NOT(ISNUMBER(Z3)),"",ABS(Z3-U3))</x:f>
        <x:v>2.6400026914837866</x:v>
      </x:c>
      <x:c r="AF3" s="93" t="n">
        <x:f>IF(NOT(ISNUMBER(AA3)),"",ABS(LOG10(AA3)-LOG10(V3)))</x:f>
        <x:v>0.016273172223270294</x:v>
      </x:c>
      <x:c r="AG3" s="93" t="n">
        <x:f>IF(NOT(ISNUMBER(AB3)),"",ABS(LOG10(AB3)-LOG10(W3)))</x:f>
        <x:v>0.317656026074701</x:v>
      </x:c>
      <x:c r="AH3" s="93" t="n">
        <x:f>IF(NOT(ISNUMBER(AC3)),"",ABS(LOG10(AC3)-LOG10(X3)))</x:f>
        <x:v>0.30138285385159946</x:v>
      </x:c>
      <x:c r="AI3" s="85" t="str">
        <x:f>IF(OR(NOT(ISNUMBER(Y3)),NOT(ISNUMBER(Z3)),NOT(ISNUMBER(AA3)),NOT(ISNUMBER(AB3))),"",IF(AND(Y3&gt;=0.3,Y3&lt;=1.2,Z3&lt;=200,AA3&gt;=1E-4,AB3&lt;=1E-6),"PASS","FAIL"))</x:f>
        <x:v>PASS</x:v>
      </x:c>
      <x:c r="AJ3" s="85" t="str"/>
    </x:row>
    <x:row r="4">
      <x:c r="A4" s="85" t="str">
        <x:v>S065-03</x:v>
      </x:c>
      <x:c r="B4" s="85" t="str">
        <x:v>R003</x:v>
      </x:c>
      <x:c r="C4" s="93" t="n">
        <x:v>0.065</x:v>
      </x:c>
      <x:c r="D4" s="93" t="str">
        <x:v>Practical</x:v>
      </x:c>
      <x:c r="E4" s="93" t="n">
        <x:v>1</x:v>
      </x:c>
      <x:c r="F4" s="94" t="n">
        <x:v>5219</x:v>
      </x:c>
      <x:c r="G4" s="93" t="n">
        <x:v>0.510712627588646</x:v>
      </x:c>
      <x:c r="H4" s="93" t="n">
        <x:v>95.80276523262819</x:v>
      </x:c>
      <x:c r="I4" s="95" t="n">
        <x:v>0.0014090180560488834</x:v>
      </x:c>
      <x:c r="J4" s="95" t="n">
        <x:v>6.95018709186453e-8</x:v>
      </x:c>
      <x:c r="K4" s="95" t="n">
        <x:v>20273.0953487309</x:v>
      </x:c>
      <x:c r="L4" s="95" t="n">
        <x:v>47395846658.81343</x:v>
      </x:c>
      <x:c r="M4" s="95" t="n">
        <x:v>14.970791129769744</x:v>
      </x:c>
      <x:c r="N4" s="95" t="n">
        <x:v>132362270166919.69</x:v>
      </x:c>
      <x:c r="O4" s="95" t="n">
        <x:v>10.808620131954628</x:v>
      </x:c>
      <x:c r="P4" s="93" t="n">
        <x:v>0.4813195306365682</x:v>
      </x:c>
      <x:c r="Q4" s="95" t="n">
        <x:v>10704588690610.117</x:v>
      </x:c>
      <x:c r="R4" s="95" t="n">
        <x:v>8.544000993766552</x:v>
      </x:c>
      <x:c r="S4" s="97" t="n">
        <x:v>0.9966666666666667</x:v>
      </x:c>
      <x:c r="T4" s="93" t="n">
        <x:v>0.5166800000000006</x:v>
      </x:c>
      <x:c r="U4" s="98" t="n">
        <x:v>98.1799197411686</x:v>
      </x:c>
      <x:c r="V4" s="95" t="n">
        <x:v>0.0016732364930407916</x:v>
      </x:c>
      <x:c r="W4" s="95" t="n">
        <x:v>6.972108619472491e-8</x:v>
      </x:c>
      <x:c r="X4" s="95" t="n">
        <x:v>23999.00208622092</x:v>
      </x:c>
      <x:c r="Y4" s="99" t="n">
        <x:f>IFERROR(IF(ISBLANK(INDEX('Short_TCAD'!$K$2:$K$100,MATCH(B4,'Short_TCAD'!$A$2:$A$100,0))),"",INDEX('Short_TCAD'!$K$2:$K$100,MATCH(B4,'Short_TCAD'!$A$2:$A$100,0))),"")</x:f>
        <x:v>0.493</x:v>
      </x:c>
      <x:c r="Z4" s="100" t="n">
        <x:f>IFERROR(IF(ISBLANK(INDEX('Short_TCAD'!$L$2:$L$100,MATCH(B4,'Short_TCAD'!$A$2:$A$100,0))),"",INDEX('Short_TCAD'!$L$2:$L$100,MATCH(B4,'Short_TCAD'!$A$2:$A$100,0))),"")</x:f>
        <x:v>167.118</x:v>
      </x:c>
      <x:c r="AA4" s="96" t="n">
        <x:f>IFERROR(IF(ISBLANK(INDEX('Short_TCAD'!$M$2:$M$100,MATCH(B4,'Short_TCAD'!$A$2:$A$100,0))),"",INDEX('Short_TCAD'!$M$2:$M$100,MATCH(B4,'Short_TCAD'!$A$2:$A$100,0))),"")</x:f>
        <x:v>0.001934</x:v>
      </x:c>
      <x:c r="AB4" s="96" t="n">
        <x:f>IFERROR(IF(ISBLANK(INDEX('Short_TCAD'!$N$2:$N$100,MATCH(B4,'Short_TCAD'!$A$2:$A$100,0))),"",INDEX('Short_TCAD'!$N$2:$N$100,MATCH(B4,'Short_TCAD'!$A$2:$A$100,0))),"")</x:f>
        <x:v>0.00001034</x:v>
      </x:c>
      <x:c r="AC4" s="95" t="n">
        <x:f>IF(OR(NOT(ISNUMBER(AA4)),NOT(ISNUMBER(AB4))),"",AA4/AB4)</x:f>
        <x:v>187.04061895551257</x:v>
      </x:c>
      <x:c r="AD4" s="93" t="n">
        <x:f>IF(NOT(ISNUMBER(Y4)),"",ABS(Y4-T4)*1000)</x:f>
        <x:v>23.68000000000059</x:v>
      </x:c>
      <x:c r="AE4" s="93" t="n">
        <x:f>IF(NOT(ISNUMBER(Z4)),"",ABS(Z4-U4))</x:f>
        <x:v>68.93808025883139</x:v>
      </x:c>
      <x:c r="AF4" s="93" t="n">
        <x:f>IF(NOT(ISNUMBER(AA4)),"",ABS(LOG10(AA4)-LOG10(V4)))</x:f>
        <x:v>0.06289914183658984</x:v>
      </x:c>
      <x:c r="AG4" s="93" t="n">
        <x:f>IF(NOT(ISNUMBER(AB4)),"",ABS(LOG10(AB4)-LOG10(W4)))</x:f>
        <x:v>2.1711563943317103</x:v>
      </x:c>
      <x:c r="AH4" s="93" t="n">
        <x:f>IF(NOT(ISNUMBER(AC4)),"",ABS(LOG10(AC4)-LOG10(X4)))</x:f>
        <x:v>2.1082572524951297</x:v>
      </x:c>
      <x:c r="AI4" s="85" t="str">
        <x:f>IF(OR(NOT(ISNUMBER(Y4)),NOT(ISNUMBER(Z4)),NOT(ISNUMBER(AA4)),NOT(ISNUMBER(AB4))),"",IF(AND(Y4&gt;=0.3,Y4&lt;=1.2,Z4&lt;=200,AA4&gt;=1E-4,AB4&lt;=1E-6),"PASS","FAIL"))</x:f>
        <x:v>FAIL</x:v>
      </x:c>
      <x:c r="AJ4" s="85" t="str">
        <x:v>Practical fail: Ioff</x:v>
      </x:c>
    </x:row>
    <x:row r="5">
      <x:c r="A5" s="85" t="str">
        <x:v>S065-04</x:v>
      </x:c>
      <x:c r="B5" s="85" t="str">
        <x:v>R004</x:v>
      </x:c>
      <x:c r="C5" s="93" t="n">
        <x:v>0.065</x:v>
      </x:c>
      <x:c r="D5" s="93" t="str">
        <x:v>Practical</x:v>
      </x:c>
      <x:c r="E5" s="93" t="n">
        <x:v>1</x:v>
      </x:c>
      <x:c r="F5" s="94" t="n">
        <x:v>4760</x:v>
      </x:c>
      <x:c r="G5" s="93" t="n">
        <x:v>0.7931448187786543</x:v>
      </x:c>
      <x:c r="H5" s="93" t="n">
        <x:v>80.73573311387678</x:v>
      </x:c>
      <x:c r="I5" s="95" t="n">
        <x:v>0.0005241848714173038</x:v>
      </x:c>
      <x:c r="J5" s="95" t="n">
        <x:v>2.5260438436926114e-15</x:v>
      </x:c>
      <x:c r="K5" s="95" t="n">
        <x:v>207512182627.45667</x:v>
      </x:c>
      <x:c r="L5" s="95" t="n">
        <x:v>10476700925.276947</x:v>
      </x:c>
      <x:c r="M5" s="95" t="n">
        <x:v>11.49796600665284</x:v>
      </x:c>
      <x:c r="N5" s="95" t="n">
        <x:v>72569282063147.58</x:v>
      </x:c>
      <x:c r="O5" s="95" t="n">
        <x:v>8.05824705796553</x:v>
      </x:c>
      <x:c r="P5" s="93" t="n">
        <x:v>0.41020519445931</x:v>
      </x:c>
      <x:c r="Q5" s="95" t="n">
        <x:v>38246777400939.836</x:v>
      </x:c>
      <x:c r="R5" s="95" t="n">
        <x:v>8.740388971372756</x:v>
      </x:c>
      <x:c r="S5" s="97" t="n">
        <x:v>0.83</x:v>
      </x:c>
      <x:c r="T5" s="93" t="n">
        <x:v>0.8097399999999976</x:v>
      </x:c>
      <x:c r="U5" s="98" t="n">
        <x:v>81.42538267273459</x:v>
      </x:c>
      <x:c r="V5" s="95" t="n">
        <x:v>0.0005255801449198382</x:v>
      </x:c>
      <x:c r="W5" s="95" t="n">
        <x:v>2.506563435651493e-15</x:v>
      </x:c>
      <x:c r="X5" s="95" t="n">
        <x:v>209681565383.25635</x:v>
      </x:c>
      <x:c r="Y5" s="99" t="n">
        <x:f>IFERROR(IF(ISBLANK(INDEX('Short_TCAD'!$K$2:$K$100,MATCH(B5,'Short_TCAD'!$A$2:$A$100,0))),"",INDEX('Short_TCAD'!$K$2:$K$100,MATCH(B5,'Short_TCAD'!$A$2:$A$100,0))),"")</x:f>
        <x:v>0.759</x:v>
      </x:c>
      <x:c r="Z5" s="100" t="n">
        <x:f>IFERROR(IF(ISBLANK(INDEX('Short_TCAD'!$L$2:$L$100,MATCH(B5,'Short_TCAD'!$A$2:$A$100,0))),"",INDEX('Short_TCAD'!$L$2:$L$100,MATCH(B5,'Short_TCAD'!$A$2:$A$100,0))),"")</x:f>
        <x:v>78.659</x:v>
      </x:c>
      <x:c r="AA5" s="96" t="n">
        <x:f>IFERROR(IF(ISBLANK(INDEX('Short_TCAD'!$M$2:$M$100,MATCH(B5,'Short_TCAD'!$A$2:$A$100,0))),"",INDEX('Short_TCAD'!$M$2:$M$100,MATCH(B5,'Short_TCAD'!$A$2:$A$100,0))),"")</x:f>
        <x:v>0.0007337</x:v>
      </x:c>
      <x:c r="AB5" s="96" t="n">
        <x:f>IFERROR(IF(ISBLANK(INDEX('Short_TCAD'!$N$2:$N$100,MATCH(B5,'Short_TCAD'!$A$2:$A$100,0))),"",INDEX('Short_TCAD'!$N$2:$N$100,MATCH(B5,'Short_TCAD'!$A$2:$A$100,0))),"")</x:f>
        <x:v>2.626e-15</x:v>
      </x:c>
      <x:c r="AC5" s="95" t="n">
        <x:f>IF(OR(NOT(ISNUMBER(AA5)),NOT(ISNUMBER(AB5))),"",AA5/AB5)</x:f>
        <x:v>279398324447.8294</x:v>
      </x:c>
      <x:c r="AD5" s="93" t="n">
        <x:f>IF(NOT(ISNUMBER(Y5)),"",ABS(Y5-T5)*1000)</x:f>
        <x:v>50.739999999997565</x:v>
      </x:c>
      <x:c r="AE5" s="93" t="n">
        <x:f>IF(NOT(ISNUMBER(Z5)),"",ABS(Z5-U5))</x:f>
        <x:v>2.7663826727345793</x:v>
      </x:c>
      <x:c r="AF5" s="93" t="n">
        <x:f>IF(NOT(ISNUMBER(AA5)),"",ABS(LOG10(AA5)-LOG10(V5)))</x:f>
        <x:v>0.1448795687533102</x:v>
      </x:c>
      <x:c r="AG5" s="93" t="n">
        <x:f>IF(NOT(ISNUMBER(AB5)),"",ABS(LOG10(AB5)-LOG10(W5)))</x:f>
        <x:v>0.0202160216195999</x:v>
      </x:c>
      <x:c r="AH5" s="93" t="n">
        <x:f>IF(NOT(ISNUMBER(AC5)),"",ABS(LOG10(AC5)-LOG10(X5)))</x:f>
        <x:v>0.12466354713370009</x:v>
      </x:c>
      <x:c r="AI5" s="85" t="str">
        <x:f>IF(OR(NOT(ISNUMBER(Y5)),NOT(ISNUMBER(Z5)),NOT(ISNUMBER(AA5)),NOT(ISNUMBER(AB5))),"",IF(AND(Y5&gt;=0.3,Y5&lt;=1.2,Z5&lt;=200,AA5&gt;=1E-4,AB5&lt;=1E-6),"PASS","FAIL"))</x:f>
        <x:v>PASS</x:v>
      </x:c>
      <x:c r="AJ5" s="85" t="str"/>
    </x:row>
    <x:row r="6">
      <x:c r="A6" s="85" t="str">
        <x:v>S065-05</x:v>
      </x:c>
      <x:c r="B6" s="85" t="str">
        <x:v>R005</x:v>
      </x:c>
      <x:c r="C6" s="93" t="n">
        <x:v>0.065</x:v>
      </x:c>
      <x:c r="D6" s="93" t="str">
        <x:v>Practical</x:v>
      </x:c>
      <x:c r="E6" s="93" t="n">
        <x:v>1</x:v>
      </x:c>
      <x:c r="F6" s="94" t="n">
        <x:v>254</x:v>
      </x:c>
      <x:c r="G6" s="93" t="n">
        <x:v>0.5049626012120957</x:v>
      </x:c>
      <x:c r="H6" s="93" t="n">
        <x:v>74.518</x:v>
      </x:c>
      <x:c r="I6" s="95" t="n">
        <x:v>0.00019424766862657933</x:v>
      </x:c>
      <x:c r="J6" s="95" t="n">
        <x:v>5.147642495511493e-11</x:v>
      </x:c>
      <x:c r="K6" s="95" t="n">
        <x:v>3773526.7900976874</x:v>
      </x:c>
      <x:c r="L6" s="95" t="n">
        <x:v>11666421690.727129</x:v>
      </x:c>
      <x:c r="M6" s="95" t="n">
        <x:v>5.029548409566119</x:v>
      </x:c>
      <x:c r="N6" s="95" t="n">
        <x:v>14579950632640.479</x:v>
      </x:c>
      <x:c r="O6" s="95" t="n">
        <x:v>14.89944097854351</x:v>
      </x:c>
      <x:c r="P6" s="93" t="n">
        <x:v>0.4724655742616191</x:v>
      </x:c>
      <x:c r="Q6" s="95" t="n">
        <x:v>2690298099929.9307</x:v>
      </x:c>
      <x:c r="R6" s="95" t="n">
        <x:v>5.399427285955437</x:v>
      </x:c>
      <x:c r="S6" s="97" t="n">
        <x:v>0.9933333333333333</x:v>
      </x:c>
      <x:c r="T6" s="93" t="n">
        <x:v>0.48231666666666495</x:v>
      </x:c>
      <x:c r="U6" s="98" t="n">
        <x:v>79.55889702607881</x:v>
      </x:c>
      <x:c r="V6" s="95" t="n">
        <x:v>0.00018110539372609245</x:v>
      </x:c>
      <x:c r="W6" s="95" t="n">
        <x:v>3.562438687355574e-11</x:v>
      </x:c>
      <x:c r="X6" s="95" t="n">
        <x:v>5083747.668946645</x:v>
      </x:c>
      <x:c r="Y6" s="99" t="n">
        <x:f>IFERROR(IF(ISBLANK(INDEX('Short_TCAD'!$K$2:$K$100,MATCH(B6,'Short_TCAD'!$A$2:$A$100,0))),"",INDEX('Short_TCAD'!$K$2:$K$100,MATCH(B6,'Short_TCAD'!$A$2:$A$100,0))),"")</x:f>
        <x:v>0.461</x:v>
      </x:c>
      <x:c r="Z6" s="100" t="n">
        <x:f>IFERROR(IF(ISBLANK(INDEX('Short_TCAD'!$L$2:$L$100,MATCH(B6,'Short_TCAD'!$A$2:$A$100,0))),"",INDEX('Short_TCAD'!$L$2:$L$100,MATCH(B6,'Short_TCAD'!$A$2:$A$100,0))),"")</x:f>
        <x:v>97.366</x:v>
      </x:c>
      <x:c r="AA6" s="96" t="n">
        <x:f>IFERROR(IF(ISBLANK(INDEX('Short_TCAD'!$M$2:$M$100,MATCH(B6,'Short_TCAD'!$A$2:$A$100,0))),"",INDEX('Short_TCAD'!$M$2:$M$100,MATCH(B6,'Short_TCAD'!$A$2:$A$100,0))),"")</x:f>
        <x:v>0.0004032</x:v>
      </x:c>
      <x:c r="AB6" s="96" t="n">
        <x:f>IFERROR(IF(ISBLANK(INDEX('Short_TCAD'!$N$2:$N$100,MATCH(B6,'Short_TCAD'!$A$2:$A$100,0))),"",INDEX('Short_TCAD'!$N$2:$N$100,MATCH(B6,'Short_TCAD'!$A$2:$A$100,0))),"")</x:f>
        <x:v>1.301e-8</x:v>
      </x:c>
      <x:c r="AC6" s="95" t="n">
        <x:f>IF(OR(NOT(ISNUMBER(AA6)),NOT(ISNUMBER(AB6))),"",AA6/AB6)</x:f>
        <x:v>30991.54496541122</x:v>
      </x:c>
      <x:c r="AD6" s="93" t="n">
        <x:f>IF(NOT(ISNUMBER(Y6)),"",ABS(Y6-T6)*1000)</x:f>
        <x:v>21.31666666666493</x:v>
      </x:c>
      <x:c r="AE6" s="93" t="n">
        <x:f>IF(NOT(ISNUMBER(Z6)),"",ABS(Z6-U6))</x:f>
        <x:v>17.80710297392119</x:v>
      </x:c>
      <x:c r="AF6" s="93" t="n">
        <x:f>IF(NOT(ISNUMBER(AA6)),"",ABS(LOG10(AA6)-LOG10(V6)))</x:f>
        <x:v>0.34758913866401997</x:v>
      </x:c>
      <x:c r="AG6" s="93" t="n">
        <x:f>IF(NOT(ISNUMBER(AB6)),"",ABS(LOG10(AB6)-LOG10(W6)))</x:f>
        <x:v>2.56252989806359</x:v>
      </x:c>
      <x:c r="AH6" s="93" t="n">
        <x:f>IF(NOT(ISNUMBER(AC6)),"",ABS(LOG10(AC6)-LOG10(X6)))</x:f>
        <x:v>2.21494075939954</x:v>
      </x:c>
      <x:c r="AI6" s="85" t="str">
        <x:f>IF(OR(NOT(ISNUMBER(Y6)),NOT(ISNUMBER(Z6)),NOT(ISNUMBER(AA6)),NOT(ISNUMBER(AB6))),"",IF(AND(Y6&gt;=0.3,Y6&lt;=1.2,Z6&lt;=200,AA6&gt;=1E-4,AB6&lt;=1E-6),"PASS","FAIL"))</x:f>
        <x:v>PASS</x:v>
      </x:c>
      <x:c r="AJ6" s="85" t="str"/>
    </x:row>
    <x:row r="7">
      <x:c r="A7" s="85" t="str">
        <x:v>S065-06</x:v>
      </x:c>
      <x:c r="B7" s="85" t="str">
        <x:v>R006</x:v>
      </x:c>
      <x:c r="C7" s="93" t="n">
        <x:v>0.065</x:v>
      </x:c>
      <x:c r="D7" s="93" t="str">
        <x:v>Practical</x:v>
      </x:c>
      <x:c r="E7" s="93" t="n">
        <x:v>1</x:v>
      </x:c>
      <x:c r="F7" s="94" t="n">
        <x:v>1104</x:v>
      </x:c>
      <x:c r="G7" s="93" t="n">
        <x:v>0.46332602671934264</x:v>
      </x:c>
      <x:c r="H7" s="93" t="n">
        <x:v>96.84511562761791</x:v>
      </x:c>
      <x:c r="I7" s="95" t="n">
        <x:v>0.00033073844664813446</x:v>
      </x:c>
      <x:c r="J7" s="95" t="n">
        <x:v>1.1546735972784829e-8</x:v>
      </x:c>
      <x:c r="K7" s="95" t="n">
        <x:v>28643.457980477866</x:v>
      </x:c>
      <x:c r="L7" s="95" t="n">
        <x:v>85176266984.52515</x:v>
      </x:c>
      <x:c r="M7" s="95" t="n">
        <x:v>8.37495681903216</x:v>
      </x:c>
      <x:c r="N7" s="95" t="n">
        <x:v>10806674718855.393</x:v>
      </x:c>
      <x:c r="O7" s="95" t="n">
        <x:v>14.858560150289843</x:v>
      </x:c>
      <x:c r="P7" s="93" t="n">
        <x:v>0.4895057733692299</x:v>
      </x:c>
      <x:c r="Q7" s="95" t="n">
        <x:v>1960954319786.2866</x:v>
      </x:c>
      <x:c r="R7" s="95" t="n">
        <x:v>3.5943350229918076</x:v>
      </x:c>
      <x:c r="S7" s="97" t="n">
        <x:v>0.9666666666666667</x:v>
      </x:c>
      <x:c r="T7" s="93" t="n">
        <x:v>0.44840666666666484</x:v>
      </x:c>
      <x:c r="U7" s="98" t="n">
        <x:v>97.63684129024635</x:v>
      </x:c>
      <x:c r="V7" s="95" t="n">
        <x:v>0.0003205824973819787</x:v>
      </x:c>
      <x:c r="W7" s="95" t="n">
        <x:v>1.0452952814789846e-8</x:v>
      </x:c>
      <x:c r="X7" s="95" t="n">
        <x:v>30669.084904735017</x:v>
      </x:c>
      <x:c r="Y7" s="99" t="n">
        <x:f>IFERROR(IF(ISBLANK(INDEX('Short_TCAD'!$K$2:$K$100,MATCH(B7,'Short_TCAD'!$A$2:$A$100,0))),"",INDEX('Short_TCAD'!$K$2:$K$100,MATCH(B7,'Short_TCAD'!$A$2:$A$100,0))),"")</x:f>
        <x:v>0.454</x:v>
      </x:c>
      <x:c r="Z7" s="100" t="n">
        <x:f>IFERROR(IF(ISBLANK(INDEX('Short_TCAD'!$L$2:$L$100,MATCH(B7,'Short_TCAD'!$A$2:$A$100,0))),"",INDEX('Short_TCAD'!$L$2:$L$100,MATCH(B7,'Short_TCAD'!$A$2:$A$100,0))),"")</x:f>
        <x:v>93.354</x:v>
      </x:c>
      <x:c r="AA7" s="96" t="n">
        <x:f>IFERROR(IF(ISBLANK(INDEX('Short_TCAD'!$M$2:$M$100,MATCH(B7,'Short_TCAD'!$A$2:$A$100,0))),"",INDEX('Short_TCAD'!$M$2:$M$100,MATCH(B7,'Short_TCAD'!$A$2:$A$100,0))),"")</x:f>
        <x:v>0.0002371</x:v>
      </x:c>
      <x:c r="AB7" s="96" t="n">
        <x:f>IFERROR(IF(ISBLANK(INDEX('Short_TCAD'!$N$2:$N$100,MATCH(B7,'Short_TCAD'!$A$2:$A$100,0))),"",INDEX('Short_TCAD'!$N$2:$N$100,MATCH(B7,'Short_TCAD'!$A$2:$A$100,0))),"")</x:f>
        <x:v>4.048e-9</x:v>
      </x:c>
      <x:c r="AC7" s="95" t="n">
        <x:f>IF(OR(NOT(ISNUMBER(AA7)),NOT(ISNUMBER(AB7))),"",AA7/AB7)</x:f>
        <x:v>58572.134387351776</x:v>
      </x:c>
      <x:c r="AD7" s="93" t="n">
        <x:f>IF(NOT(ISNUMBER(Y7)),"",ABS(Y7-T7)*1000)</x:f>
        <x:v>5.5933333333351705</x:v>
      </x:c>
      <x:c r="AE7" s="93" t="n">
        <x:f>IF(NOT(ISNUMBER(Z7)),"",ABS(Z7-U7))</x:f>
        <x:v>4.282841290246353</x:v>
      </x:c>
      <x:c r="AF7" s="93" t="n">
        <x:f>IF(NOT(ISNUMBER(AA7)),"",ABS(LOG10(AA7)-LOG10(V7)))</x:f>
        <x:v>0.1310082538156001</x:v>
      </x:c>
      <x:c r="AG7" s="93" t="n">
        <x:f>IF(NOT(ISNUMBER(AB7)),"",ABS(LOG10(AB7)-LOG10(W7)))</x:f>
        <x:v>0.4119984861391002</x:v>
      </x:c>
      <x:c r="AH7" s="93" t="n">
        <x:f>IF(NOT(ISNUMBER(AC7)),"",ABS(LOG10(AC7)-LOG10(X7)))</x:f>
        <x:v>0.28099023232350007</x:v>
      </x:c>
      <x:c r="AI7" s="85" t="str">
        <x:f>IF(OR(NOT(ISNUMBER(Y7)),NOT(ISNUMBER(Z7)),NOT(ISNUMBER(AA7)),NOT(ISNUMBER(AB7))),"",IF(AND(Y7&gt;=0.3,Y7&lt;=1.2,Z7&lt;=200,AA7&gt;=1E-4,AB7&lt;=1E-6),"PASS","FAIL"))</x:f>
        <x:v>PASS</x:v>
      </x:c>
      <x:c r="AJ7" s="85" t="str"/>
    </x:row>
    <x:row r="8">
      <x:c r="A8" s="85" t="str">
        <x:v>S065-07</x:v>
      </x:c>
      <x:c r="B8" s="85" t="str">
        <x:v>R007</x:v>
      </x:c>
      <x:c r="C8" s="93" t="n">
        <x:v>0.065</x:v>
      </x:c>
      <x:c r="D8" s="93" t="str">
        <x:v>Practical</x:v>
      </x:c>
      <x:c r="E8" s="93" t="n">
        <x:v>1</x:v>
      </x:c>
      <x:c r="F8" s="94" t="n">
        <x:v>1184</x:v>
      </x:c>
      <x:c r="G8" s="93" t="n">
        <x:v>0.6487648992287615</x:v>
      </x:c>
      <x:c r="H8" s="93" t="n">
        <x:v>74.518</x:v>
      </x:c>
      <x:c r="I8" s="95" t="n">
        <x:v>0.0008299390658245716</x:v>
      </x:c>
      <x:c r="J8" s="95" t="n">
        <x:v>8.447905526545687e-13</x:v>
      </x:c>
      <x:c r="K8" s="95" t="n">
        <x:v>982419918.4243603</x:v>
      </x:c>
      <x:c r="L8" s="95" t="n">
        <x:v>10097537962.158007</x:v>
      </x:c>
      <x:c r="M8" s="95" t="n">
        <x:v>7.94897759378074</x:v>
      </x:c>
      <x:c r="N8" s="95" t="n">
        <x:v>46817729725910.06</x:v>
      </x:c>
      <x:c r="O8" s="95" t="n">
        <x:v>7.510606309949886</x:v>
      </x:c>
      <x:c r="P8" s="93" t="n">
        <x:v>0.13627825535640087</x:v>
      </x:c>
      <x:c r="Q8" s="95" t="n">
        <x:v>8195744597555.493</x:v>
      </x:c>
      <x:c r="R8" s="95" t="n">
        <x:v>6.1690779357686685</x:v>
      </x:c>
      <x:c r="S8" s="97" t="n">
        <x:v>0.9466666666666667</x:v>
      </x:c>
      <x:c r="T8" s="93" t="n">
        <x:v>0.6234233333333348</x:v>
      </x:c>
      <x:c r="U8" s="98" t="n">
        <x:v>79.91710873759197</x:v>
      </x:c>
      <x:c r="V8" s="95" t="n">
        <x:v>0.0008631745073727982</x:v>
      </x:c>
      <x:c r="W8" s="95" t="n">
        <x:v>7.69393404865086e-13</x:v>
      </x:c>
      <x:c r="X8" s="95" t="n">
        <x:v>1121889662.5766592</x:v>
      </x:c>
      <x:c r="Y8" s="99" t="n">
        <x:f>IFERROR(IF(ISBLANK(INDEX('Short_TCAD'!$K$2:$K$100,MATCH(B8,'Short_TCAD'!$A$2:$A$100,0))),"",INDEX('Short_TCAD'!$K$2:$K$100,MATCH(B8,'Short_TCAD'!$A$2:$A$100,0))),"")</x:f>
        <x:v>0.581</x:v>
      </x:c>
      <x:c r="Z8" s="100" t="n">
        <x:f>IFERROR(IF(ISBLANK(INDEX('Short_TCAD'!$L$2:$L$100,MATCH(B8,'Short_TCAD'!$A$2:$A$100,0))),"",INDEX('Short_TCAD'!$L$2:$L$100,MATCH(B8,'Short_TCAD'!$A$2:$A$100,0))),"")</x:f>
        <x:v>73.549</x:v>
      </x:c>
      <x:c r="AA8" s="96" t="n">
        <x:f>IFERROR(IF(ISBLANK(INDEX('Short_TCAD'!$M$2:$M$100,MATCH(B8,'Short_TCAD'!$A$2:$A$100,0))),"",INDEX('Short_TCAD'!$M$2:$M$100,MATCH(B8,'Short_TCAD'!$A$2:$A$100,0))),"")</x:f>
        <x:v>0.0009846</x:v>
      </x:c>
      <x:c r="AB8" s="96" t="n">
        <x:f>IFERROR(IF(ISBLANK(INDEX('Short_TCAD'!$N$2:$N$100,MATCH(B8,'Short_TCAD'!$A$2:$A$100,0))),"",INDEX('Short_TCAD'!$N$2:$N$100,MATCH(B8,'Short_TCAD'!$A$2:$A$100,0))),"")</x:f>
        <x:v>6.471e-13</x:v>
      </x:c>
      <x:c r="AC8" s="95" t="n">
        <x:f>IF(OR(NOT(ISNUMBER(AA8)),NOT(ISNUMBER(AB8))),"",AA8/AB8)</x:f>
        <x:v>1521557719.054242</x:v>
      </x:c>
      <x:c r="AD8" s="93" t="n">
        <x:f>IF(NOT(ISNUMBER(Y8)),"",ABS(Y8-T8)*1000)</x:f>
        <x:v>42.42333333333481</x:v>
      </x:c>
      <x:c r="AE8" s="93" t="n">
        <x:f>IF(NOT(ISNUMBER(Z8)),"",ABS(Z8-U8))</x:f>
        <x:v>6.368108737591967</x:v>
      </x:c>
      <x:c r="AF8" s="93" t="n">
        <x:f>IF(NOT(ISNUMBER(AA8)),"",ABS(LOG10(AA8)-LOG10(V8)))</x:f>
        <x:v>0.057161225840209884</x:v>
      </x:c>
      <x:c r="AG8" s="93" t="n">
        <x:f>IF(NOT(ISNUMBER(AB8)),"",ABS(LOG10(AB8)-LOG10(W8)))</x:f>
        <x:v>0.07517705945169872</x:v>
      </x:c>
      <x:c r="AH8" s="93" t="n">
        <x:f>IF(NOT(ISNUMBER(AC8)),"",ABS(LOG10(AC8)-LOG10(X8)))</x:f>
        <x:v>0.1323382852919206</x:v>
      </x:c>
      <x:c r="AI8" s="85" t="str">
        <x:f>IF(OR(NOT(ISNUMBER(Y8)),NOT(ISNUMBER(Z8)),NOT(ISNUMBER(AA8)),NOT(ISNUMBER(AB8))),"",IF(AND(Y8&gt;=0.3,Y8&lt;=1.2,Z8&lt;=200,AA8&gt;=1E-4,AB8&lt;=1E-6),"PASS","FAIL"))</x:f>
        <x:v>PASS</x:v>
      </x:c>
      <x:c r="AJ8" s="85" t="str"/>
    </x:row>
    <x:row r="9">
      <x:c r="A9" s="85" t="str">
        <x:v>S065-08</x:v>
      </x:c>
      <x:c r="B9" s="85" t="str">
        <x:v>R008</x:v>
      </x:c>
      <x:c r="C9" s="93" t="n">
        <x:v>0.065</x:v>
      </x:c>
      <x:c r="D9" s="93" t="str">
        <x:v>Practical</x:v>
      </x:c>
      <x:c r="E9" s="93" t="n">
        <x:v>1</x:v>
      </x:c>
      <x:c r="F9" s="94" t="n">
        <x:v>2157</x:v>
      </x:c>
      <x:c r="G9" s="93" t="n">
        <x:v>0.5705974495918322</x:v>
      </x:c>
      <x:c r="H9" s="93" t="n">
        <x:v>75.92234673465114</x:v>
      </x:c>
      <x:c r="I9" s="95" t="n">
        <x:v>0.0015961238845938642</x:v>
      </x:c>
      <x:c r="J9" s="95" t="n">
        <x:v>1.6343507913014347e-11</x:v>
      </x:c>
      <x:c r="K9" s="95" t="n">
        <x:v>97661034.16041239</x:v>
      </x:c>
      <x:c r="L9" s="95" t="n">
        <x:v>25672670449.560524</x:v>
      </x:c>
      <x:c r="M9" s="95" t="n">
        <x:v>5.48789094111089</x:v>
      </x:c>
      <x:c r="N9" s="95" t="n">
        <x:v>104403055112938.08</x:v>
      </x:c>
      <x:c r="O9" s="95" t="n">
        <x:v>7.660692089655597</x:v>
      </x:c>
      <x:c r="P9" s="93" t="n">
        <x:v>0.370298132545704</x:v>
      </x:c>
      <x:c r="Q9" s="95" t="n">
        <x:v>17515043451880.338</x:v>
      </x:c>
      <x:c r="R9" s="95" t="n">
        <x:v>8.670068574212692</x:v>
      </x:c>
      <x:c r="S9" s="97" t="n">
        <x:v>0.9966666666666667</x:v>
      </x:c>
      <x:c r="T9" s="93" t="n">
        <x:v>0.5733199999999998</x:v>
      </x:c>
      <x:c r="U9" s="98" t="n">
        <x:v>77.84615895960174</x:v>
      </x:c>
      <x:c r="V9" s="95" t="n">
        <x:v>0.0015946461581364852</x:v>
      </x:c>
      <x:c r="W9" s="95" t="n">
        <x:v>1.7472022620055327e-11</x:v>
      </x:c>
      <x:c r="X9" s="95" t="n">
        <x:v>91268549.3152959</x:v>
      </x:c>
      <x:c r="Y9" s="99" t="n">
        <x:f>IFERROR(IF(ISBLANK(INDEX('Short_TCAD'!$K$2:$K$100,MATCH(B9,'Short_TCAD'!$A$2:$A$100,0))),"",INDEX('Short_TCAD'!$K$2:$K$100,MATCH(B9,'Short_TCAD'!$A$2:$A$100,0))),"")</x:f>
        <x:v>0.618</x:v>
      </x:c>
      <x:c r="Z9" s="100" t="n">
        <x:f>IFERROR(IF(ISBLANK(INDEX('Short_TCAD'!$L$2:$L$100,MATCH(B9,'Short_TCAD'!$A$2:$A$100,0))),"",INDEX('Short_TCAD'!$L$2:$L$100,MATCH(B9,'Short_TCAD'!$A$2:$A$100,0))),"")</x:f>
        <x:v>75.026</x:v>
      </x:c>
      <x:c r="AA9" s="96" t="n">
        <x:f>IFERROR(IF(ISBLANK(INDEX('Short_TCAD'!$M$2:$M$100,MATCH(B9,'Short_TCAD'!$A$2:$A$100,0))),"",INDEX('Short_TCAD'!$M$2:$M$100,MATCH(B9,'Short_TCAD'!$A$2:$A$100,0))),"")</x:f>
        <x:v>0.001524</x:v>
      </x:c>
      <x:c r="AB9" s="96" t="n">
        <x:f>IFERROR(IF(ISBLANK(INDEX('Short_TCAD'!$N$2:$N$100,MATCH(B9,'Short_TCAD'!$A$2:$A$100,0))),"",INDEX('Short_TCAD'!$N$2:$N$100,MATCH(B9,'Short_TCAD'!$A$2:$A$100,0))),"")</x:f>
        <x:v>4.774e-13</x:v>
      </x:c>
      <x:c r="AC9" s="95" t="n">
        <x:f>IF(OR(NOT(ISNUMBER(AA9)),NOT(ISNUMBER(AB9))),"",AA9/AB9)</x:f>
        <x:v>3192291579.388354</x:v>
      </x:c>
      <x:c r="AD9" s="93" t="n">
        <x:f>IF(NOT(ISNUMBER(Y9)),"",ABS(Y9-T9)*1000)</x:f>
        <x:v>44.68000000000016</x:v>
      </x:c>
      <x:c r="AE9" s="93" t="n">
        <x:f>IF(NOT(ISNUMBER(Z9)),"",ABS(Z9-U9))</x:f>
        <x:v>2.8201589596017413</x:v>
      </x:c>
      <x:c r="AF9" s="93" t="n">
        <x:f>IF(NOT(ISNUMBER(AA9)),"",ABS(LOG10(AA9)-LOG10(V9)))</x:f>
        <x:v>0.0196793638899897</x:v>
      </x:c>
      <x:c r="AG9" s="93" t="n">
        <x:f>IF(NOT(ISNUMBER(AB9)),"",ABS(LOG10(AB9)-LOG10(W9)))</x:f>
        <x:v>1.5634607686112005</x:v>
      </x:c>
      <x:c r="AH9" s="93" t="n">
        <x:f>IF(NOT(ISNUMBER(AC9)),"",ABS(LOG10(AC9)-LOG10(X9)))</x:f>
        <x:v>1.5437814047211704</x:v>
      </x:c>
      <x:c r="AI9" s="85" t="str">
        <x:f>IF(OR(NOT(ISNUMBER(Y9)),NOT(ISNUMBER(Z9)),NOT(ISNUMBER(AA9)),NOT(ISNUMBER(AB9))),"",IF(AND(Y9&gt;=0.3,Y9&lt;=1.2,Z9&lt;=200,AA9&gt;=1E-4,AB9&lt;=1E-6),"PASS","FAIL"))</x:f>
        <x:v>PASS</x:v>
      </x:c>
      <x:c r="AJ9" s="85" t="str"/>
    </x:row>
    <x:row r="10">
      <x:c r="A10" s="85" t="str">
        <x:v>S065-09</x:v>
      </x:c>
      <x:c r="B10" s="85" t="str">
        <x:v>R009</x:v>
      </x:c>
      <x:c r="C10" s="93" t="n">
        <x:v>0.065</x:v>
      </x:c>
      <x:c r="D10" s="93" t="str">
        <x:v>Practical</x:v>
      </x:c>
      <x:c r="E10" s="93" t="n">
        <x:v>1</x:v>
      </x:c>
      <x:c r="F10" s="94" t="n">
        <x:v>7043</x:v>
      </x:c>
      <x:c r="G10" s="93" t="n">
        <x:v>0.5027142383847927</x:v>
      </x:c>
      <x:c r="H10" s="93" t="n">
        <x:v>88.03647171750912</x:v>
      </x:c>
      <x:c r="I10" s="95" t="n">
        <x:v>0.0009187438347372889</x:v>
      </x:c>
      <x:c r="J10" s="95" t="n">
        <x:v>6.768935668834761e-9</x:v>
      </x:c>
      <x:c r="K10" s="95" t="n">
        <x:v>135729.43808098653</x:v>
      </x:c>
      <x:c r="L10" s="95" t="n">
        <x:v>18234562082.076603</x:v>
      </x:c>
      <x:c r="M10" s="95" t="n">
        <x:v>6.676122346528741</x:v>
      </x:c>
      <x:c r="N10" s="95" t="n">
        <x:v>28729864402643.785</x:v>
      </x:c>
      <x:c r="O10" s="95" t="n">
        <x:v>9.22198148237814</x:v>
      </x:c>
      <x:c r="P10" s="93" t="n">
        <x:v>0.4550327201168613</x:v>
      </x:c>
      <x:c r="Q10" s="95" t="n">
        <x:v>2158663381073.0308</x:v>
      </x:c>
      <x:c r="R10" s="95" t="n">
        <x:v>7.421223181209509</x:v>
      </x:c>
      <x:c r="S10" s="97" t="n">
        <x:v>0.9833333333333333</x:v>
      </x:c>
      <x:c r="T10" s="93" t="n">
        <x:v>0.4993566666666666</x:v>
      </x:c>
      <x:c r="U10" s="98" t="n">
        <x:v>88.9835173210038</x:v>
      </x:c>
      <x:c r="V10" s="95" t="n">
        <x:v>0.0009727374030304187</x:v>
      </x:c>
      <x:c r="W10" s="95" t="n">
        <x:v>6.8464984556283484e-9</x:v>
      </x:c>
      <x:c r="X10" s="95" t="n">
        <x:v>142078.0869717065</x:v>
      </x:c>
      <x:c r="Y10" s="99" t="n">
        <x:f>IFERROR(IF(ISBLANK(INDEX('Short_TCAD'!$K$2:$K$100,MATCH(B10,'Short_TCAD'!$A$2:$A$100,0))),"",INDEX('Short_TCAD'!$K$2:$K$100,MATCH(B10,'Short_TCAD'!$A$2:$A$100,0))),"")</x:f>
        <x:v>0.498</x:v>
      </x:c>
      <x:c r="Z10" s="100" t="n">
        <x:f>IFERROR(IF(ISBLANK(INDEX('Short_TCAD'!$L$2:$L$100,MATCH(B10,'Short_TCAD'!$A$2:$A$100,0))),"",INDEX('Short_TCAD'!$L$2:$L$100,MATCH(B10,'Short_TCAD'!$A$2:$A$100,0))),"")</x:f>
        <x:v>86.278</x:v>
      </x:c>
      <x:c r="AA10" s="96" t="n">
        <x:f>IFERROR(IF(ISBLANK(INDEX('Short_TCAD'!$M$2:$M$100,MATCH(B10,'Short_TCAD'!$A$2:$A$100,0))),"",INDEX('Short_TCAD'!$M$2:$M$100,MATCH(B10,'Short_TCAD'!$A$2:$A$100,0))),"")</x:f>
        <x:v>0.0009416</x:v>
      </x:c>
      <x:c r="AB10" s="96" t="n">
        <x:f>IFERROR(IF(ISBLANK(INDEX('Short_TCAD'!$N$2:$N$100,MATCH(B10,'Short_TCAD'!$A$2:$A$100,0))),"",INDEX('Short_TCAD'!$N$2:$N$100,MATCH(B10,'Short_TCAD'!$A$2:$A$100,0))),"")</x:f>
        <x:v>1.607e-9</x:v>
      </x:c>
      <x:c r="AC10" s="95" t="n">
        <x:f>IF(OR(NOT(ISNUMBER(AA10)),NOT(ISNUMBER(AB10))),"",AA10/AB10)</x:f>
        <x:v>585936.5276913503</x:v>
      </x:c>
      <x:c r="AD10" s="93" t="n">
        <x:f>IF(NOT(ISNUMBER(Y10)),"",ABS(Y10-T10)*1000)</x:f>
        <x:v>1.3566666666666172</x:v>
      </x:c>
      <x:c r="AE10" s="93" t="n">
        <x:f>IF(NOT(ISNUMBER(Z10)),"",ABS(Z10-U10))</x:f>
        <x:v>2.7055173210037964</x:v>
      </x:c>
      <x:c r="AF10" s="93" t="n">
        <x:f>IF(NOT(ISNUMBER(AA10)),"",ABS(LOG10(AA10)-LOG10(V10)))</x:f>
        <x:v>0.014129165554249923</x:v>
      </x:c>
      <x:c r="AG10" s="93" t="n">
        <x:f>IF(NOT(ISNUMBER(AB10)),"",ABS(LOG10(AB10)-LOG10(W10)))</x:f>
        <x:v>0.6294526377651302</x:v>
      </x:c>
      <x:c r="AH10" s="93" t="n">
        <x:f>IF(NOT(ISNUMBER(AC10)),"",ABS(LOG10(AC10)-LOG10(X10)))</x:f>
        <x:v>0.6153234722108802</x:v>
      </x:c>
      <x:c r="AI10" s="85" t="str">
        <x:f>IF(OR(NOT(ISNUMBER(Y10)),NOT(ISNUMBER(Z10)),NOT(ISNUMBER(AA10)),NOT(ISNUMBER(AB10))),"",IF(AND(Y10&gt;=0.3,Y10&lt;=1.2,Z10&lt;=200,AA10&gt;=1E-4,AB10&lt;=1E-6),"PASS","FAIL"))</x:f>
        <x:v>PASS</x:v>
      </x:c>
      <x:c r="AJ10" s="85" t="str"/>
    </x:row>
    <x:row r="11">
      <x:c r="A11" s="85" t="str">
        <x:v>S065-10</x:v>
      </x:c>
      <x:c r="B11" s="85" t="str">
        <x:v>R010</x:v>
      </x:c>
      <x:c r="C11" s="93" t="n">
        <x:v>0.065</x:v>
      </x:c>
      <x:c r="D11" s="93" t="str">
        <x:v>Practical</x:v>
      </x:c>
      <x:c r="E11" s="93" t="n">
        <x:v>1</x:v>
      </x:c>
      <x:c r="F11" s="94" t="n">
        <x:v>206</x:v>
      </x:c>
      <x:c r="G11" s="93" t="n">
        <x:v>0.8339289671525341</x:v>
      </x:c>
      <x:c r="H11" s="93" t="n">
        <x:v>74.518</x:v>
      </x:c>
      <x:c r="I11" s="95" t="n">
        <x:v>0.0006836639455802733</x:v>
      </x:c>
      <x:c r="J11" s="95" t="n">
        <x:v>9.08024814325662e-12</x:v>
      </x:c>
      <x:c r="K11" s="95" t="n">
        <x:v>75291328.47410028</x:v>
      </x:c>
      <x:c r="L11" s="95" t="n">
        <x:v>14575654631.771547</x:v>
      </x:c>
      <x:c r="M11" s="95" t="n">
        <x:v>12.010254042025746</x:v>
      </x:c>
      <x:c r="N11" s="95" t="n">
        <x:v>412994437646805.2</x:v>
      </x:c>
      <x:c r="O11" s="95" t="n">
        <x:v>7.390387825225554</x:v>
      </x:c>
      <x:c r="P11" s="93" t="n">
        <x:v>0.45200338611178276</x:v>
      </x:c>
      <x:c r="Q11" s="95" t="n">
        <x:v>32652708022678.844</x:v>
      </x:c>
      <x:c r="R11" s="95" t="n">
        <x:v>4.535875388004857</x:v>
      </x:c>
      <x:c r="S11" s="97" t="n">
        <x:v>0.9566666666666667</x:v>
      </x:c>
      <x:c r="T11" s="93" t="n">
        <x:v>0.8455633333333317</x:v>
      </x:c>
      <x:c r="U11" s="98" t="n">
        <x:v>88.62784150978602</x:v>
      </x:c>
      <x:c r="V11" s="95" t="n">
        <x:v>0.0007628539835908753</x:v>
      </x:c>
      <x:c r="W11" s="95" t="n">
        <x:v>7.994162838844602e-12</x:v>
      </x:c>
      <x:c r="X11" s="95" t="n">
        <x:v>95426375.3402765</x:v>
      </x:c>
      <x:c r="Y11" s="99" t="n">
        <x:f>IFERROR(IF(ISBLANK(INDEX('Short_TCAD'!$K$2:$K$100,MATCH(B11,'Short_TCAD'!$A$2:$A$100,0))),"",INDEX('Short_TCAD'!$K$2:$K$100,MATCH(B11,'Short_TCAD'!$A$2:$A$100,0))),"")</x:f>
        <x:v>0.504</x:v>
      </x:c>
      <x:c r="Z11" s="100" t="n">
        <x:f>IFERROR(IF(ISBLANK(INDEX('Short_TCAD'!$L$2:$L$100,MATCH(B11,'Short_TCAD'!$A$2:$A$100,0))),"",INDEX('Short_TCAD'!$L$2:$L$100,MATCH(B11,'Short_TCAD'!$A$2:$A$100,0))),"")</x:f>
        <x:v>302.931</x:v>
      </x:c>
      <x:c r="AA11" s="96" t="n">
        <x:f>IFERROR(IF(ISBLANK(INDEX('Short_TCAD'!$M$2:$M$100,MATCH(B11,'Short_TCAD'!$A$2:$A$100,0))),"",INDEX('Short_TCAD'!$M$2:$M$100,MATCH(B11,'Short_TCAD'!$A$2:$A$100,0))),"")</x:f>
        <x:v>0.002475</x:v>
      </x:c>
      <x:c r="AB11" s="96" t="n">
        <x:f>IFERROR(IF(ISBLANK(INDEX('Short_TCAD'!$N$2:$N$100,MATCH(B11,'Short_TCAD'!$A$2:$A$100,0))),"",INDEX('Short_TCAD'!$N$2:$N$100,MATCH(B11,'Short_TCAD'!$A$2:$A$100,0))),"")</x:f>
        <x:v>0.00006746</x:v>
      </x:c>
      <x:c r="AC11" s="95" t="n">
        <x:f>IF(OR(NOT(ISNUMBER(AA11)),NOT(ISNUMBER(AB11))),"",AA11/AB11)</x:f>
        <x:v>36.688407945449164</x:v>
      </x:c>
      <x:c r="AD11" s="93" t="n">
        <x:f>IF(NOT(ISNUMBER(Y11)),"",ABS(Y11-T11)*1000)</x:f>
        <x:v>341.5633333333317</x:v>
      </x:c>
      <x:c r="AE11" s="93" t="n">
        <x:f>IF(NOT(ISNUMBER(Z11)),"",ABS(Z11-U11))</x:f>
        <x:v>214.30315849021395</x:v>
      </x:c>
      <x:c r="AF11" s="93" t="n">
        <x:f>IF(NOT(ISNUMBER(AA11)),"",ABS(LOG10(AA11)-LOG10(V11)))</x:f>
        <x:v>0.5111337848289299</x:v>
      </x:c>
      <x:c r="AG11" s="93" t="n">
        <x:f>IF(NOT(ISNUMBER(AB11)),"",ABS(LOG10(AB11)-LOG10(W11)))</x:f>
        <x:v>6.92627334638278</x:v>
      </x:c>
      <x:c r="AH11" s="93" t="n">
        <x:f>IF(NOT(ISNUMBER(AC11)),"",ABS(LOG10(AC11)-LOG10(X11)))</x:f>
        <x:v>6.41513956155384</x:v>
      </x:c>
      <x:c r="AI11" s="85" t="str">
        <x:f>IF(OR(NOT(ISNUMBER(Y11)),NOT(ISNUMBER(Z11)),NOT(ISNUMBER(AA11)),NOT(ISNUMBER(AB11))),"",IF(AND(Y11&gt;=0.3,Y11&lt;=1.2,Z11&lt;=200,AA11&gt;=1E-4,AB11&lt;=1E-6),"PASS","FAIL"))</x:f>
        <x:v>FAIL</x:v>
      </x:c>
      <x:c r="AJ11" s="85" t="str">
        <x:v>Practical fail: SS, Ioff</x:v>
      </x:c>
    </x:row>
    <x:row r="12">
      <x:c r="A12" s="85" t="str">
        <x:v>S065-11</x:v>
      </x:c>
      <x:c r="B12" s="85" t="str">
        <x:v>R011</x:v>
      </x:c>
      <x:c r="C12" s="93" t="n">
        <x:v>0.065</x:v>
      </x:c>
      <x:c r="D12" s="93" t="str">
        <x:v>Practical</x:v>
      </x:c>
      <x:c r="E12" s="93" t="n">
        <x:v>1</x:v>
      </x:c>
      <x:c r="F12" s="94" t="n">
        <x:v>4117</x:v>
      </x:c>
      <x:c r="G12" s="93" t="n">
        <x:v>0.7602885342238305</x:v>
      </x:c>
      <x:c r="H12" s="93" t="n">
        <x:v>81.0566636540973</x:v>
      </x:c>
      <x:c r="I12" s="95" t="n">
        <x:v>0.0008491704034453342</x:v>
      </x:c>
      <x:c r="J12" s="95" t="n">
        <x:v>3.2654108522990288e-15</x:v>
      </x:c>
      <x:c r="K12" s="95" t="n">
        <x:v>260050095334.0899</x:v>
      </x:c>
      <x:c r="L12" s="95" t="n">
        <x:v>25780365989.9528</x:v>
      </x:c>
      <x:c r="M12" s="95" t="n">
        <x:v>14.895176909524446</x:v>
      </x:c>
      <x:c r="N12" s="95" t="n">
        <x:v>160814455313864.1</x:v>
      </x:c>
      <x:c r="O12" s="95" t="n">
        <x:v>9.112864794702094</x:v>
      </x:c>
      <x:c r="P12" s="93" t="n">
        <x:v>0.4297895324475719</x:v>
      </x:c>
      <x:c r="Q12" s="95" t="n">
        <x:v>79632512439179.84</x:v>
      </x:c>
      <x:c r="R12" s="95" t="n">
        <x:v>7.71279187391551</x:v>
      </x:c>
      <x:c r="S12" s="97" t="n">
        <x:v>0.9566666666666667</x:v>
      </x:c>
      <x:c r="T12" s="93" t="n">
        <x:v>0.7540966666666667</x:v>
      </x:c>
      <x:c r="U12" s="98" t="n">
        <x:v>83.0777947807295</x:v>
      </x:c>
      <x:c r="V12" s="95" t="n">
        <x:v>0.0008246793936129787</x:v>
      </x:c>
      <x:c r="W12" s="95" t="n">
        <x:v>3.1894656883247952e-15</x:v>
      </x:c>
      <x:c r="X12" s="95" t="n">
        <x:v>258563494390.85062</x:v>
      </x:c>
      <x:c r="Y12" s="99" t="n">
        <x:f>IFERROR(IF(ISBLANK(INDEX('Short_TCAD'!$K$2:$K$100,MATCH(B12,'Short_TCAD'!$A$2:$A$100,0))),"",INDEX('Short_TCAD'!$K$2:$K$100,MATCH(B12,'Short_TCAD'!$A$2:$A$100,0))),"")</x:f>
        <x:v>0.872</x:v>
      </x:c>
      <x:c r="Z12" s="100" t="n">
        <x:f>IFERROR(IF(ISBLANK(INDEX('Short_TCAD'!$L$2:$L$100,MATCH(B12,'Short_TCAD'!$A$2:$A$100,0))),"",INDEX('Short_TCAD'!$L$2:$L$100,MATCH(B12,'Short_TCAD'!$A$2:$A$100,0))),"")</x:f>
        <x:v>80.713</x:v>
      </x:c>
      <x:c r="AA12" s="96" t="n">
        <x:f>IFERROR(IF(ISBLANK(INDEX('Short_TCAD'!$M$2:$M$100,MATCH(B12,'Short_TCAD'!$A$2:$A$100,0))),"",INDEX('Short_TCAD'!$M$2:$M$100,MATCH(B12,'Short_TCAD'!$A$2:$A$100,0))),"")</x:f>
        <x:v>0.0008998</x:v>
      </x:c>
      <x:c r="AB12" s="96" t="n">
        <x:f>IFERROR(IF(ISBLANK(INDEX('Short_TCAD'!$N$2:$N$100,MATCH(B12,'Short_TCAD'!$A$2:$A$100,0))),"",INDEX('Short_TCAD'!$N$2:$N$100,MATCH(B12,'Short_TCAD'!$A$2:$A$100,0))),"")</x:f>
        <x:v>3.235e-15</x:v>
      </x:c>
      <x:c r="AC12" s="95" t="n">
        <x:f>IF(OR(NOT(ISNUMBER(AA12)),NOT(ISNUMBER(AB12))),"",AA12/AB12)</x:f>
        <x:v>278145285935.085</x:v>
      </x:c>
      <x:c r="AD12" s="93" t="n">
        <x:f>IF(NOT(ISNUMBER(Y12)),"",ABS(Y12-T12)*1000)</x:f>
        <x:v>117.90333333333325</x:v>
      </x:c>
      <x:c r="AE12" s="93" t="n">
        <x:f>IF(NOT(ISNUMBER(Z12)),"",ABS(Z12-U12))</x:f>
        <x:v>2.364794780729511</x:v>
      </x:c>
      <x:c r="AF12" s="93" t="n">
        <x:f>IF(NOT(ISNUMBER(AA12)),"",ABS(LOG10(AA12)-LOG10(V12)))</x:f>
        <x:v>0.03786084591183991</x:v>
      </x:c>
      <x:c r="AG12" s="93" t="n">
        <x:f>IF(NOT(ISNUMBER(AB12)),"",ABS(LOG10(AB12)-LOG10(W12)))</x:f>
        <x:v>0.006156350551901113</x:v>
      </x:c>
      <x:c r="AH12" s="93" t="n">
        <x:f>IF(NOT(ISNUMBER(AC12)),"",ABS(LOG10(AC12)-LOG10(X12)))</x:f>
        <x:v>0.031704495359900164</x:v>
      </x:c>
      <x:c r="AI12" s="85" t="str">
        <x:f>IF(OR(NOT(ISNUMBER(Y12)),NOT(ISNUMBER(Z12)),NOT(ISNUMBER(AA12)),NOT(ISNUMBER(AB12))),"",IF(AND(Y12&gt;=0.3,Y12&lt;=1.2,Z12&lt;=200,AA12&gt;=1E-4,AB12&lt;=1E-6),"PASS","FAIL"))</x:f>
        <x:v>PASS</x:v>
      </x:c>
      <x:c r="AJ12" s="85" t="str"/>
    </x:row>
    <x:row r="13">
      <x:c r="A13" s="85" t="str">
        <x:v>S065-12</x:v>
      </x:c>
      <x:c r="B13" s="85" t="str">
        <x:v>R012</x:v>
      </x:c>
      <x:c r="C13" s="93" t="n">
        <x:v>0.065</x:v>
      </x:c>
      <x:c r="D13" s="93" t="str">
        <x:v>Practical</x:v>
      </x:c>
      <x:c r="E13" s="93" t="n">
        <x:v>1</x:v>
      </x:c>
      <x:c r="F13" s="94" t="n">
        <x:v>3452</x:v>
      </x:c>
      <x:c r="G13" s="93" t="n">
        <x:v>0.5041163904897121</x:v>
      </x:c>
      <x:c r="H13" s="93" t="n">
        <x:v>94.69948985614809</x:v>
      </x:c>
      <x:c r="I13" s="95" t="n">
        <x:v>0.0009254110137274298</x:v>
      </x:c>
      <x:c r="J13" s="95" t="n">
        <x:v>8.116252819796655e-8</x:v>
      </x:c>
      <x:c r="K13" s="95" t="n">
        <x:v>11401.94908012507</x:v>
      </x:c>
      <x:c r="L13" s="95" t="n">
        <x:v>81864606941.61832</x:v>
      </x:c>
      <x:c r="M13" s="95" t="n">
        <x:v>13.005279373869232</x:v>
      </x:c>
      <x:c r="N13" s="95" t="n">
        <x:v>20526642874247.766</x:v>
      </x:c>
      <x:c r="O13" s="95" t="n">
        <x:v>8.74331343049365</x:v>
      </x:c>
      <x:c r="P13" s="93" t="n">
        <x:v>0.38005918806414396</x:v>
      </x:c>
      <x:c r="Q13" s="95" t="n">
        <x:v>1625586905574.9307</x:v>
      </x:c>
      <x:c r="R13" s="95" t="n">
        <x:v>5.081064218150965</x:v>
      </x:c>
      <x:c r="S13" s="97" t="n">
        <x:v>0.96</x:v>
      </x:c>
      <x:c r="T13" s="93" t="n">
        <x:v>0.47586666666666455</x:v>
      </x:c>
      <x:c r="U13" s="98" t="n">
        <x:v>95.74357582636712</x:v>
      </x:c>
      <x:c r="V13" s="95" t="n">
        <x:v>0.0010048908636080608</x:v>
      </x:c>
      <x:c r="W13" s="95" t="n">
        <x:v>7.926470445367985e-8</x:v>
      </x:c>
      <x:c r="X13" s="95" t="n">
        <x:v>12677.658619105707</x:v>
      </x:c>
      <x:c r="Y13" s="99" t="n">
        <x:f>IFERROR(IF(ISBLANK(INDEX('Short_TCAD'!$K$2:$K$100,MATCH(B13,'Short_TCAD'!$A$2:$A$100,0))),"",INDEX('Short_TCAD'!$K$2:$K$100,MATCH(B13,'Short_TCAD'!$A$2:$A$100,0))),"")</x:f>
        <x:v>0.497</x:v>
      </x:c>
      <x:c r="Z13" s="100" t="n">
        <x:f>IFERROR(IF(ISBLANK(INDEX('Short_TCAD'!$L$2:$L$100,MATCH(B13,'Short_TCAD'!$A$2:$A$100,0))),"",INDEX('Short_TCAD'!$L$2:$L$100,MATCH(B13,'Short_TCAD'!$A$2:$A$100,0))),"")</x:f>
        <x:v>82.881</x:v>
      </x:c>
      <x:c r="AA13" s="96" t="n">
        <x:f>IFERROR(IF(ISBLANK(INDEX('Short_TCAD'!$M$2:$M$100,MATCH(B13,'Short_TCAD'!$A$2:$A$100,0))),"",INDEX('Short_TCAD'!$M$2:$M$100,MATCH(B13,'Short_TCAD'!$A$2:$A$100,0))),"")</x:f>
        <x:v>0.0007761</x:v>
      </x:c>
      <x:c r="AB13" s="96" t="n">
        <x:f>IFERROR(IF(ISBLANK(INDEX('Short_TCAD'!$N$2:$N$100,MATCH(B13,'Short_TCAD'!$A$2:$A$100,0))),"",INDEX('Short_TCAD'!$N$2:$N$100,MATCH(B13,'Short_TCAD'!$A$2:$A$100,0))),"")</x:f>
        <x:v>4.069e-10</x:v>
      </x:c>
      <x:c r="AC13" s="95" t="n">
        <x:f>IF(OR(NOT(ISNUMBER(AA13)),NOT(ISNUMBER(AB13))),"",AA13/AB13)</x:f>
        <x:v>1907348.2428115017</x:v>
      </x:c>
      <x:c r="AD13" s="93" t="n">
        <x:f>IF(NOT(ISNUMBER(Y13)),"",ABS(Y13-T13)*1000)</x:f>
        <x:v>21.133333333335447</x:v>
      </x:c>
      <x:c r="AE13" s="93" t="n">
        <x:f>IF(NOT(ISNUMBER(Z13)),"",ABS(Z13-U13))</x:f>
        <x:v>12.86257582636712</x:v>
      </x:c>
      <x:c r="AF13" s="93" t="n">
        <x:f>IF(NOT(ISNUMBER(AA13)),"",ABS(LOG10(AA13)-LOG10(V13)))</x:f>
        <x:v>0.11220121423423013</x:v>
      </x:c>
      <x:c r="AG13" s="93" t="n">
        <x:f>IF(NOT(ISNUMBER(AB13)),"",ABS(LOG10(AB13)-LOG10(W13)))</x:f>
        <x:v>2.2895921547994593</x:v>
      </x:c>
      <x:c r="AH13" s="93" t="n">
        <x:f>IF(NOT(ISNUMBER(AC13)),"",ABS(LOG10(AC13)-LOG10(X13)))</x:f>
        <x:v>2.17739094056523</x:v>
      </x:c>
      <x:c r="AI13" s="85" t="str">
        <x:f>IF(OR(NOT(ISNUMBER(Y13)),NOT(ISNUMBER(Z13)),NOT(ISNUMBER(AA13)),NOT(ISNUMBER(AB13))),"",IF(AND(Y13&gt;=0.3,Y13&lt;=1.2,Z13&lt;=200,AA13&gt;=1E-4,AB13&lt;=1E-6),"PASS","FAIL"))</x:f>
        <x:v>PASS</x:v>
      </x:c>
      <x:c r="AJ13" s="85" t="str"/>
    </x:row>
    <x:row r="14">
      <x:c r="A14" s="85" t="str">
        <x:v>S065-13</x:v>
      </x:c>
      <x:c r="B14" s="85" t="str">
        <x:v>R013</x:v>
      </x:c>
      <x:c r="C14" s="93" t="n">
        <x:v>0.065</x:v>
      </x:c>
      <x:c r="D14" s="93" t="str">
        <x:v>Practical</x:v>
      </x:c>
      <x:c r="E14" s="93" t="n">
        <x:v>1</x:v>
      </x:c>
      <x:c r="F14" s="94" t="n">
        <x:v>108</x:v>
      </x:c>
      <x:c r="G14" s="93" t="n">
        <x:v>0.7113193798960123</x:v>
      </x:c>
      <x:c r="H14" s="93" t="n">
        <x:v>77.67609364412391</x:v>
      </x:c>
      <x:c r="I14" s="95" t="n">
        <x:v>0.0010611790138271484</x:v>
      </x:c>
      <x:c r="J14" s="95" t="n">
        <x:v>1.4255271606749494e-11</x:v>
      </x:c>
      <x:c r="K14" s="95" t="n">
        <x:v>74441164.16026112</x:v>
      </x:c>
      <x:c r="L14" s="95" t="n">
        <x:v>31062877799.963364</x:v>
      </x:c>
      <x:c r="M14" s="95" t="n">
        <x:v>9.953053834574852</x:v>
      </x:c>
      <x:c r="N14" s="95" t="n">
        <x:v>324719070548458.4</x:v>
      </x:c>
      <x:c r="O14" s="95" t="n">
        <x:v>7.165883201773852</x:v>
      </x:c>
      <x:c r="P14" s="93" t="n">
        <x:v>0.46749304544231507</x:v>
      </x:c>
      <x:c r="Q14" s="95" t="n">
        <x:v>29224170108676.535</x:v>
      </x:c>
      <x:c r="R14" s="95" t="n">
        <x:v>3.543082006192191</x:v>
      </x:c>
      <x:c r="S14" s="97" t="n">
        <x:v>0.98</x:v>
      </x:c>
      <x:c r="T14" s="93" t="n">
        <x:v>0.7161266666666655</x:v>
      </x:c>
      <x:c r="U14" s="98" t="n">
        <x:v>98.82708190535193</x:v>
      </x:c>
      <x:c r="V14" s="95" t="n">
        <x:v>0.0010661635587302615</x:v>
      </x:c>
      <x:c r="W14" s="95" t="n">
        <x:v>1.4512907321462608e-11</x:v>
      </x:c>
      <x:c r="X14" s="95" t="n">
        <x:v>73463127.34689286</x:v>
      </x:c>
      <x:c r="Y14" s="99" t="n">
        <x:f>IFERROR(IF(ISBLANK(INDEX('Short_TCAD'!$K$2:$K$100,MATCH(B14,'Short_TCAD'!$A$2:$A$100,0))),"",INDEX('Short_TCAD'!$K$2:$K$100,MATCH(B14,'Short_TCAD'!$A$2:$A$100,0))),"")</x:f>
        <x:v>0.548</x:v>
      </x:c>
      <x:c r="Z14" s="100" t="n">
        <x:f>IFERROR(IF(ISBLANK(INDEX('Short_TCAD'!$L$2:$L$100,MATCH(B14,'Short_TCAD'!$A$2:$A$100,0))),"",INDEX('Short_TCAD'!$L$2:$L$100,MATCH(B14,'Short_TCAD'!$A$2:$A$100,0))),"")</x:f>
        <x:v>187.329</x:v>
      </x:c>
      <x:c r="AA14" s="96" t="n">
        <x:f>IFERROR(IF(ISBLANK(INDEX('Short_TCAD'!$M$2:$M$100,MATCH(B14,'Short_TCAD'!$A$2:$A$100,0))),"",INDEX('Short_TCAD'!$M$2:$M$100,MATCH(B14,'Short_TCAD'!$A$2:$A$100,0))),"")</x:f>
        <x:v>0.002217</x:v>
      </x:c>
      <x:c r="AB14" s="96" t="n">
        <x:f>IFERROR(IF(ISBLANK(INDEX('Short_TCAD'!$N$2:$N$100,MATCH(B14,'Short_TCAD'!$A$2:$A$100,0))),"",INDEX('Short_TCAD'!$N$2:$N$100,MATCH(B14,'Short_TCAD'!$A$2:$A$100,0))),"")</x:f>
        <x:v>0.000009726</x:v>
      </x:c>
      <x:c r="AC14" s="95" t="n">
        <x:f>IF(OR(NOT(ISNUMBER(AA14)),NOT(ISNUMBER(AB14))),"",AA14/AB14)</x:f>
        <x:v>227.94571252313386</x:v>
      </x:c>
      <x:c r="AD14" s="93" t="n">
        <x:f>IF(NOT(ISNUMBER(Y14)),"",ABS(Y14-T14)*1000)</x:f>
        <x:v>168.12666666666541</x:v>
      </x:c>
      <x:c r="AE14" s="93" t="n">
        <x:f>IF(NOT(ISNUMBER(Z14)),"",ABS(Z14-U14))</x:f>
        <x:v>88.50191809464808</x:v>
      </x:c>
      <x:c r="AF14" s="93" t="n">
        <x:f>IF(NOT(ISNUMBER(AA14)),"",ABS(LOG10(AA14)-LOG10(V14)))</x:f>
        <x:v>0.31794185877549985</x:v>
      </x:c>
      <x:c r="AG14" s="93" t="n">
        <x:f>IF(NOT(ISNUMBER(AB14)),"",ABS(LOG10(AB14)-LOG10(W14)))</x:f>
        <x:v>5.826179843339561</x:v>
      </x:c>
      <x:c r="AH14" s="93" t="n">
        <x:f>IF(NOT(ISNUMBER(AC14)),"",ABS(LOG10(AC14)-LOG10(X14)))</x:f>
        <x:v>5.50823798456404</x:v>
      </x:c>
      <x:c r="AI14" s="85" t="str">
        <x:f>IF(OR(NOT(ISNUMBER(Y14)),NOT(ISNUMBER(Z14)),NOT(ISNUMBER(AA14)),NOT(ISNUMBER(AB14))),"",IF(AND(Y14&gt;=0.3,Y14&lt;=1.2,Z14&lt;=200,AA14&gt;=1E-4,AB14&lt;=1E-6),"PASS","FAIL"))</x:f>
        <x:v>FAIL</x:v>
      </x:c>
      <x:c r="AJ14" s="85" t="str">
        <x:v>Practical fail: Ioff</x:v>
      </x:c>
    </x:row>
    <x:row r="15">
      <x:c r="A15" s="85" t="str">
        <x:v>S065-14</x:v>
      </x:c>
      <x:c r="B15" s="85" t="str">
        <x:v>R014</x:v>
      </x:c>
      <x:c r="C15" s="93" t="n">
        <x:v>0.065</x:v>
      </x:c>
      <x:c r="D15" s="93" t="str">
        <x:v>Practical</x:v>
      </x:c>
      <x:c r="E15" s="93" t="n">
        <x:v>1</x:v>
      </x:c>
      <x:c r="F15" s="94" t="n">
        <x:v>740</x:v>
      </x:c>
      <x:c r="G15" s="93" t="n">
        <x:v>0.6027442012509328</x:v>
      </x:c>
      <x:c r="H15" s="93" t="n">
        <x:v>101.09133418825535</x:v>
      </x:c>
      <x:c r="I15" s="95" t="n">
        <x:v>0.0017149312262122879</x:v>
      </x:c>
      <x:c r="J15" s="95" t="n">
        <x:v>2.7602814662980658e-8</x:v>
      </x:c>
      <x:c r="K15" s="95" t="n">
        <x:v>62128.85342132363</x:v>
      </x:c>
      <x:c r="L15" s="95" t="n">
        <x:v>71307210848.59724</x:v>
      </x:c>
      <x:c r="M15" s="95" t="n">
        <x:v>7.310011697475262</x:v>
      </x:c>
      <x:c r="N15" s="95" t="n">
        <x:v>968186983522537.6</x:v>
      </x:c>
      <x:c r="O15" s="95" t="n">
        <x:v>12.362428017252128</x:v>
      </x:c>
      <x:c r="P15" s="93" t="n">
        <x:v>0.15774812125547194</x:v>
      </x:c>
      <x:c r="Q15" s="95" t="n">
        <x:v>87393692590283.5</x:v>
      </x:c>
      <x:c r="R15" s="95" t="n">
        <x:v>5.735681104292362</x:v>
      </x:c>
      <x:c r="S15" s="97" t="n">
        <x:v>0.83</x:v>
      </x:c>
      <x:c r="T15" s="93" t="n">
        <x:v>0.6440066666666698</x:v>
      </x:c>
      <x:c r="U15" s="98" t="n">
        <x:v>100.05126547533266</x:v>
      </x:c>
      <x:c r="V15" s="95" t="n">
        <x:v>0.002185959991214272</x:v>
      </x:c>
      <x:c r="W15" s="95" t="n">
        <x:v>2.656767648308905e-8</x:v>
      </x:c>
      <x:c r="X15" s="95" t="n">
        <x:v>82278.92990964741</x:v>
      </x:c>
      <x:c r="Y15" s="99" t="n">
        <x:f>IFERROR(IF(ISBLANK(INDEX('Short_TCAD'!$K$2:$K$100,MATCH(B15,'Short_TCAD'!$A$2:$A$100,0))),"",INDEX('Short_TCAD'!$K$2:$K$100,MATCH(B15,'Short_TCAD'!$A$2:$A$100,0))),"")</x:f>
        <x:v>0.54</x:v>
      </x:c>
      <x:c r="Z15" s="100" t="n">
        <x:f>IFERROR(IF(ISBLANK(INDEX('Short_TCAD'!$L$2:$L$100,MATCH(B15,'Short_TCAD'!$A$2:$A$100,0))),"",INDEX('Short_TCAD'!$L$2:$L$100,MATCH(B15,'Short_TCAD'!$A$2:$A$100,0))),"")</x:f>
        <x:v>430.916</x:v>
      </x:c>
      <x:c r="AA15" s="96" t="n">
        <x:f>IFERROR(IF(ISBLANK(INDEX('Short_TCAD'!$M$2:$M$100,MATCH(B15,'Short_TCAD'!$A$2:$A$100,0))),"",INDEX('Short_TCAD'!$M$2:$M$100,MATCH(B15,'Short_TCAD'!$A$2:$A$100,0))),"")</x:f>
        <x:v>0.002592</x:v>
      </x:c>
      <x:c r="AB15" s="96" t="n">
        <x:f>IFERROR(IF(ISBLANK(INDEX('Short_TCAD'!$N$2:$N$100,MATCH(B15,'Short_TCAD'!$A$2:$A$100,0))),"",INDEX('Short_TCAD'!$N$2:$N$100,MATCH(B15,'Short_TCAD'!$A$2:$A$100,0))),"")</x:f>
        <x:v>0.0001262</x:v>
      </x:c>
      <x:c r="AC15" s="95" t="n">
        <x:f>IF(OR(NOT(ISNUMBER(AA15)),NOT(ISNUMBER(AB15))),"",AA15/AB15)</x:f>
        <x:v>20.538827258320126</x:v>
      </x:c>
      <x:c r="AD15" s="93" t="n">
        <x:f>IF(NOT(ISNUMBER(Y15)),"",ABS(Y15-T15)*1000)</x:f>
        <x:v>104.0066666666698</x:v>
      </x:c>
      <x:c r="AE15" s="93" t="n">
        <x:f>IF(NOT(ISNUMBER(Z15)),"",ABS(Z15-U15))</x:f>
        <x:v>330.86473452466737</x:v>
      </x:c>
      <x:c r="AF15" s="93" t="n">
        <x:f>IF(NOT(ISNUMBER(AA15)),"",ABS(LOG10(AA15)-LOG10(V15)))</x:f>
        <x:v>0.07399278823714983</x:v>
      </x:c>
      <x:c r="AG15" s="93" t="n">
        <x:f>IF(NOT(ISNUMBER(AB15)),"",ABS(LOG10(AB15)-LOG10(W15)))</x:f>
        <x:v>3.67670578072733</x:v>
      </x:c>
      <x:c r="AH15" s="93" t="n">
        <x:f>IF(NOT(ISNUMBER(AC15)),"",ABS(LOG10(AC15)-LOG10(X15)))</x:f>
        <x:v>3.60271299249018</x:v>
      </x:c>
      <x:c r="AI15" s="85" t="str">
        <x:f>IF(OR(NOT(ISNUMBER(Y15)),NOT(ISNUMBER(Z15)),NOT(ISNUMBER(AA15)),NOT(ISNUMBER(AB15))),"",IF(AND(Y15&gt;=0.3,Y15&lt;=1.2,Z15&lt;=200,AA15&gt;=1E-4,AB15&lt;=1E-6),"PASS","FAIL"))</x:f>
        <x:v>FAIL</x:v>
      </x:c>
      <x:c r="AJ15" s="85" t="str">
        <x:v>Practical fail: SS, Ioff</x:v>
      </x:c>
    </x:row>
    <x:row r="16">
      <x:c r="A16" s="85" t="str">
        <x:v>S065-15</x:v>
      </x:c>
      <x:c r="B16" s="85" t="str">
        <x:v>R015</x:v>
      </x:c>
      <x:c r="C16" s="93" t="n">
        <x:v>0.065</x:v>
      </x:c>
      <x:c r="D16" s="93" t="str">
        <x:v>Practical</x:v>
      </x:c>
      <x:c r="E16" s="93" t="n">
        <x:v>1</x:v>
      </x:c>
      <x:c r="F16" s="94" t="n">
        <x:v>7364</x:v>
      </x:c>
      <x:c r="G16" s="93" t="n">
        <x:v>0.5681116488060352</x:v>
      </x:c>
      <x:c r="H16" s="93" t="n">
        <x:v>91.35141236693995</x:v>
      </x:c>
      <x:c r="I16" s="95" t="n">
        <x:v>0.001202521171844266</x:v>
      </x:c>
      <x:c r="J16" s="95" t="n">
        <x:v>1.5538176562377092e-9</x:v>
      </x:c>
      <x:c r="K16" s="95" t="n">
        <x:v>773913.9576750308</x:v>
      </x:c>
      <x:c r="L16" s="95" t="n">
        <x:v>23516924812.010307</x:v>
      </x:c>
      <x:c r="M16" s="95" t="n">
        <x:v>13.753527002036822</x:v>
      </x:c>
      <x:c r="N16" s="95" t="n">
        <x:v>106811616872087.45</x:v>
      </x:c>
      <x:c r="O16" s="95" t="n">
        <x:v>8.16004814793793</x:v>
      </x:c>
      <x:c r="P16" s="93" t="n">
        <x:v>0.11451322514991538</x:v>
      </x:c>
      <x:c r="Q16" s="95" t="n">
        <x:v>6820473949144.525</x:v>
      </x:c>
      <x:c r="R16" s="95" t="n">
        <x:v>3.286708966518944</x:v>
      </x:c>
      <x:c r="S16" s="97" t="n">
        <x:v>0.96</x:v>
      </x:c>
      <x:c r="T16" s="93" t="n">
        <x:v>0.559556666666669</x:v>
      </x:c>
      <x:c r="U16" s="98" t="n">
        <x:v>88.73504364763977</x:v>
      </x:c>
      <x:c r="V16" s="95" t="n">
        <x:v>0.001280619284262774</x:v>
      </x:c>
      <x:c r="W16" s="95" t="n">
        <x:v>1.5568288167248894e-9</x:v>
      </x:c>
      <x:c r="X16" s="95" t="n">
        <x:v>822581.9502473115</x:v>
      </x:c>
      <x:c r="Y16" s="99" t="n">
        <x:f>IFERROR(IF(ISBLANK(INDEX('Short_TCAD'!$K$2:$K$100,MATCH(B16,'Short_TCAD'!$A$2:$A$100,0))),"",INDEX('Short_TCAD'!$K$2:$K$100,MATCH(B16,'Short_TCAD'!$A$2:$A$100,0))),"")</x:f>
        <x:v>0.501</x:v>
      </x:c>
      <x:c r="Z16" s="100" t="n">
        <x:f>IFERROR(IF(ISBLANK(INDEX('Short_TCAD'!$L$2:$L$100,MATCH(B16,'Short_TCAD'!$A$2:$A$100,0))),"",INDEX('Short_TCAD'!$L$2:$L$100,MATCH(B16,'Short_TCAD'!$A$2:$A$100,0))),"")</x:f>
        <x:v>121.208</x:v>
      </x:c>
      <x:c r="AA16" s="96" t="n">
        <x:f>IFERROR(IF(ISBLANK(INDEX('Short_TCAD'!$M$2:$M$100,MATCH(B16,'Short_TCAD'!$A$2:$A$100,0))),"",INDEX('Short_TCAD'!$M$2:$M$100,MATCH(B16,'Short_TCAD'!$A$2:$A$100,0))),"")</x:f>
        <x:v>0.001532</x:v>
      </x:c>
      <x:c r="AB16" s="96" t="n">
        <x:f>IFERROR(IF(ISBLANK(INDEX('Short_TCAD'!$N$2:$N$100,MATCH(B16,'Short_TCAD'!$A$2:$A$100,0))),"",INDEX('Short_TCAD'!$N$2:$N$100,MATCH(B16,'Short_TCAD'!$A$2:$A$100,0))),"")</x:f>
        <x:v>3.668e-7</x:v>
      </x:c>
      <x:c r="AC16" s="95" t="n">
        <x:f>IF(OR(NOT(ISNUMBER(AA16)),NOT(ISNUMBER(AB16))),"",AA16/AB16)</x:f>
        <x:v>4176.663031624864</x:v>
      </x:c>
      <x:c r="AD16" s="93" t="n">
        <x:f>IF(NOT(ISNUMBER(Y16)),"",ABS(Y16-T16)*1000)</x:f>
        <x:v>58.55666666666903</x:v>
      </x:c>
      <x:c r="AE16" s="93" t="n">
        <x:f>IF(NOT(ISNUMBER(Z16)),"",ABS(Z16-U16))</x:f>
        <x:v>32.47295635236023</x:v>
      </x:c>
      <x:c r="AF16" s="93" t="n">
        <x:f>IF(NOT(ISNUMBER(AA16)),"",ABS(LOG10(AA16)-LOG10(V16)))</x:f>
        <x:v>0.07783872791631996</x:v>
      </x:c>
      <x:c r="AG16" s="93" t="n">
        <x:f>IF(NOT(ISNUMBER(AB16)),"",ABS(LOG10(AB16)-LOG10(W16)))</x:f>
        <x:v>2.37218846525768</x:v>
      </x:c>
      <x:c r="AH16" s="93" t="n">
        <x:f>IF(NOT(ISNUMBER(AC16)),"",ABS(LOG10(AC16)-LOG10(X16)))</x:f>
        <x:v>2.29434973734137</x:v>
      </x:c>
      <x:c r="AI16" s="85" t="str">
        <x:f>IF(OR(NOT(ISNUMBER(Y16)),NOT(ISNUMBER(Z16)),NOT(ISNUMBER(AA16)),NOT(ISNUMBER(AB16))),"",IF(AND(Y16&gt;=0.3,Y16&lt;=1.2,Z16&lt;=200,AA16&gt;=1E-4,AB16&lt;=1E-6),"PASS","FAIL"))</x:f>
        <x:v>PASS</x:v>
      </x:c>
      <x:c r="AJ16" s="85" t="str"/>
    </x:row>
    <x:row r="17">
      <x:c r="A17" s="85" t="str">
        <x:v>S065-16</x:v>
      </x:c>
      <x:c r="B17" s="85" t="str">
        <x:v>R016</x:v>
      </x:c>
      <x:c r="C17" s="93" t="n">
        <x:v>0.065</x:v>
      </x:c>
      <x:c r="D17" s="93" t="str">
        <x:v>Practical</x:v>
      </x:c>
      <x:c r="E17" s="93" t="n">
        <x:v>1</x:v>
      </x:c>
      <x:c r="F17" s="94" t="n">
        <x:v>1655</x:v>
      </x:c>
      <x:c r="G17" s="93" t="n">
        <x:v>0.6565065650060996</x:v>
      </x:c>
      <x:c r="H17" s="93" t="n">
        <x:v>74.518</x:v>
      </x:c>
      <x:c r="I17" s="95" t="n">
        <x:v>0.0014648817487107346</x:v>
      </x:c>
      <x:c r="J17" s="95" t="n">
        <x:v>2.1307208001147738e-13</x:v>
      </x:c>
      <x:c r="K17" s="95" t="n">
        <x:v>6875052557.950469</x:v>
      </x:c>
      <x:c r="L17" s="95" t="n">
        <x:v>57228233329.38299</x:v>
      </x:c>
      <x:c r="M17" s="95" t="n">
        <x:v>7.908892145964364</x:v>
      </x:c>
      <x:c r="N17" s="95" t="n">
        <x:v>233300782463884</x:v>
      </x:c>
      <x:c r="O17" s="95" t="n">
        <x:v>7.694789638297697</x:v>
      </x:c>
      <x:c r="P17" s="93" t="n">
        <x:v>0.13219032525590926</x:v>
      </x:c>
      <x:c r="Q17" s="95" t="n">
        <x:v>34695003860309.27</x:v>
      </x:c>
      <x:c r="R17" s="95" t="n">
        <x:v>8.91312608300641</x:v>
      </x:c>
      <x:c r="S17" s="97" t="n">
        <x:v>0.9833333333333333</x:v>
      </x:c>
      <x:c r="T17" s="93" t="n">
        <x:v>0.6421933333333356</x:v>
      </x:c>
      <x:c r="U17" s="98" t="n">
        <x:v>78.91392896628125</x:v>
      </x:c>
      <x:c r="V17" s="95" t="n">
        <x:v>0.0016204443311816127</x:v>
      </x:c>
      <x:c r="W17" s="95" t="n">
        <x:v>2.1881043857120347e-13</x:v>
      </x:c>
      <x:c r="X17" s="95" t="n">
        <x:v>7405699388.762485</x:v>
      </x:c>
      <x:c r="Y17" s="99" t="n">
        <x:f>IFERROR(IF(ISBLANK(INDEX('Short_TCAD'!$K$2:$K$100,MATCH(B17,'Short_TCAD'!$A$2:$A$100,0))),"",INDEX('Short_TCAD'!$K$2:$K$100,MATCH(B17,'Short_TCAD'!$A$2:$A$100,0))),"")</x:f>
        <x:v>0.666</x:v>
      </x:c>
      <x:c r="Z17" s="100" t="n">
        <x:f>IFERROR(IF(ISBLANK(INDEX('Short_TCAD'!$L$2:$L$100,MATCH(B17,'Short_TCAD'!$A$2:$A$100,0))),"",INDEX('Short_TCAD'!$L$2:$L$100,MATCH(B17,'Short_TCAD'!$A$2:$A$100,0))),"")</x:f>
        <x:v>75.928</x:v>
      </x:c>
      <x:c r="AA17" s="96" t="n">
        <x:f>IFERROR(IF(ISBLANK(INDEX('Short_TCAD'!$M$2:$M$100,MATCH(B17,'Short_TCAD'!$A$2:$A$100,0))),"",INDEX('Short_TCAD'!$M$2:$M$100,MATCH(B17,'Short_TCAD'!$A$2:$A$100,0))),"")</x:f>
        <x:v>0.001751</x:v>
      </x:c>
      <x:c r="AB17" s="96" t="n">
        <x:f>IFERROR(IF(ISBLANK(INDEX('Short_TCAD'!$N$2:$N$100,MATCH(B17,'Short_TCAD'!$A$2:$A$100,0))),"",INDEX('Short_TCAD'!$N$2:$N$100,MATCH(B17,'Short_TCAD'!$A$2:$A$100,0))),"")</x:f>
        <x:v>8.48e-14</x:v>
      </x:c>
      <x:c r="AC17" s="95" t="n">
        <x:f>IF(OR(NOT(ISNUMBER(AA17)),NOT(ISNUMBER(AB17))),"",AA17/AB17)</x:f>
        <x:v>20648584905.660378</x:v>
      </x:c>
      <x:c r="AD17" s="93" t="n">
        <x:f>IF(NOT(ISNUMBER(Y17)),"",ABS(Y17-T17)*1000)</x:f>
        <x:v>23.806666666664423</x:v>
      </x:c>
      <x:c r="AE17" s="93" t="n">
        <x:f>IF(NOT(ISNUMBER(Z17)),"",ABS(Z17-U17))</x:f>
        <x:v>2.98592896628125</x:v>
      </x:c>
      <x:c r="AF17" s="93" t="n">
        <x:f>IF(NOT(ISNUMBER(AA17)),"",ABS(LOG10(AA17)-LOG10(V17)))</x:f>
        <x:v>0.03365203023137031</x:v>
      </x:c>
      <x:c r="AG17" s="93" t="n">
        <x:f>IF(NOT(ISNUMBER(AB17)),"",ABS(LOG10(AB17)-LOG10(W17)))</x:f>
        <x:v>0.4116721843522999</x:v>
      </x:c>
      <x:c r="AH17" s="93" t="n">
        <x:f>IF(NOT(ISNUMBER(AC17)),"",ABS(LOG10(AC17)-LOG10(X17)))</x:f>
        <x:v>0.4453242145836196</x:v>
      </x:c>
      <x:c r="AI17" s="85" t="str">
        <x:f>IF(OR(NOT(ISNUMBER(Y17)),NOT(ISNUMBER(Z17)),NOT(ISNUMBER(AA17)),NOT(ISNUMBER(AB17))),"",IF(AND(Y17&gt;=0.3,Y17&lt;=1.2,Z17&lt;=200,AA17&gt;=1E-4,AB17&lt;=1E-6),"PASS","FAIL"))</x:f>
        <x:v>PASS</x:v>
      </x:c>
      <x:c r="AJ17" s="85" t="str"/>
    </x:row>
    <x:row r="18">
      <x:c r="A18" s="85" t="str">
        <x:v>S065-17</x:v>
      </x:c>
      <x:c r="B18" s="85" t="str">
        <x:v>R017</x:v>
      </x:c>
      <x:c r="C18" s="93" t="n">
        <x:v>0.065</x:v>
      </x:c>
      <x:c r="D18" s="93" t="str">
        <x:v>Practical</x:v>
      </x:c>
      <x:c r="E18" s="93" t="n">
        <x:v>1</x:v>
      </x:c>
      <x:c r="F18" s="94" t="n">
        <x:v>3395</x:v>
      </x:c>
      <x:c r="G18" s="93" t="n">
        <x:v>0.43483596119444057</x:v>
      </x:c>
      <x:c r="H18" s="93" t="n">
        <x:v>90.41126848923301</x:v>
      </x:c>
      <x:c r="I18" s="95" t="n">
        <x:v>0.00038130749575694065</x:v>
      </x:c>
      <x:c r="J18" s="95" t="n">
        <x:v>9.39196583482043e-10</x:v>
      </x:c>
      <x:c r="K18" s="95" t="n">
        <x:v>405993.27389294223</x:v>
      </x:c>
      <x:c r="L18" s="95" t="n">
        <x:v>48074789060.56562</x:v>
      </x:c>
      <x:c r="M18" s="95" t="n">
        <x:v>14.911277782137198</x:v>
      </x:c>
      <x:c r="N18" s="95" t="n">
        <x:v>13473650165024.037</x:v>
      </x:c>
      <x:c r="O18" s="95" t="n">
        <x:v>13.13579460489353</x:v>
      </x:c>
      <x:c r="P18" s="93" t="n">
        <x:v>0.11240726331273723</x:v>
      </x:c>
      <x:c r="Q18" s="95" t="n">
        <x:v>1081846334300.5627</x:v>
      </x:c>
      <x:c r="R18" s="95" t="n">
        <x:v>5.4222287314851325</x:v>
      </x:c>
      <x:c r="S18" s="97" t="n">
        <x:v>0.9633333333333334</x:v>
      </x:c>
      <x:c r="T18" s="93" t="n">
        <x:v>0.4671533333333333</x:v>
      </x:c>
      <x:c r="U18" s="98" t="n">
        <x:v>85.77953907392765</x:v>
      </x:c>
      <x:c r="V18" s="95" t="n">
        <x:v>0.0004026574075139726</x:v>
      </x:c>
      <x:c r="W18" s="95" t="n">
        <x:v>9.3789554743097e-10</x:v>
      </x:c>
      <x:c r="X18" s="95" t="n">
        <x:v>429320.09712265804</x:v>
      </x:c>
      <x:c r="Y18" s="99" t="n">
        <x:f>IFERROR(IF(ISBLANK(INDEX('Short_TCAD'!$K$2:$K$100,MATCH(B18,'Short_TCAD'!$A$2:$A$100,0))),"",INDEX('Short_TCAD'!$K$2:$K$100,MATCH(B18,'Short_TCAD'!$A$2:$A$100,0))),"")</x:f>
        <x:v>0.46</x:v>
      </x:c>
      <x:c r="Z18" s="100" t="n">
        <x:f>IFERROR(IF(ISBLANK(INDEX('Short_TCAD'!$L$2:$L$100,MATCH(B18,'Short_TCAD'!$A$2:$A$100,0))),"",INDEX('Short_TCAD'!$L$2:$L$100,MATCH(B18,'Short_TCAD'!$A$2:$A$100,0))),"")</x:f>
        <x:v>99.389</x:v>
      </x:c>
      <x:c r="AA18" s="96" t="n">
        <x:f>IFERROR(IF(ISBLANK(INDEX('Short_TCAD'!$M$2:$M$100,MATCH(B18,'Short_TCAD'!$A$2:$A$100,0))),"",INDEX('Short_TCAD'!$M$2:$M$100,MATCH(B18,'Short_TCAD'!$A$2:$A$100,0))),"")</x:f>
        <x:v>0.0005231</x:v>
      </x:c>
      <x:c r="AB18" s="96" t="n">
        <x:f>IFERROR(IF(ISBLANK(INDEX('Short_TCAD'!$N$2:$N$100,MATCH(B18,'Short_TCAD'!$A$2:$A$100,0))),"",INDEX('Short_TCAD'!$N$2:$N$100,MATCH(B18,'Short_TCAD'!$A$2:$A$100,0))),"")</x:f>
        <x:v>1.995e-8</x:v>
      </x:c>
      <x:c r="AC18" s="95" t="n">
        <x:f>IF(OR(NOT(ISNUMBER(AA18)),NOT(ISNUMBER(AB18))),"",AA18/AB18)</x:f>
        <x:v>26220.551378446115</x:v>
      </x:c>
      <x:c r="AD18" s="93" t="n">
        <x:f>IF(NOT(ISNUMBER(Y18)),"",ABS(Y18-T18)*1000)</x:f>
        <x:v>7.15333333333329</x:v>
      </x:c>
      <x:c r="AE18" s="93" t="n">
        <x:f>IF(NOT(ISNUMBER(Z18)),"",ABS(Z18-U18))</x:f>
        <x:v>13.609460926072344</x:v>
      </x:c>
      <x:c r="AF18" s="93" t="n">
        <x:f>IF(NOT(ISNUMBER(AA18)),"",ABS(LOG10(AA18)-LOG10(V18)))</x:f>
        <x:v>0.11364902699796975</x:v>
      </x:c>
      <x:c r="AG18" s="93" t="n">
        <x:f>IF(NOT(ISNUMBER(AB18)),"",ABS(LOG10(AB18)-LOG10(W18)))</x:f>
        <x:v>1.327788425929719</x:v>
      </x:c>
      <x:c r="AH18" s="93" t="n">
        <x:f>IF(NOT(ISNUMBER(AC18)),"",ABS(LOG10(AC18)-LOG10(X18)))</x:f>
        <x:v>1.2141393989317493</x:v>
      </x:c>
      <x:c r="AI18" s="85" t="str">
        <x:f>IF(OR(NOT(ISNUMBER(Y18)),NOT(ISNUMBER(Z18)),NOT(ISNUMBER(AA18)),NOT(ISNUMBER(AB18))),"",IF(AND(Y18&gt;=0.3,Y18&lt;=1.2,Z18&lt;=200,AA18&gt;=1E-4,AB18&lt;=1E-6),"PASS","FAIL"))</x:f>
        <x:v>PASS</x:v>
      </x:c>
      <x:c r="AJ18" s="85" t="str"/>
    </x:row>
    <x:row r="19">
      <x:c r="A19" s="85" t="str">
        <x:v>S065-18</x:v>
      </x:c>
      <x:c r="B19" s="85" t="str">
        <x:v>R018</x:v>
      </x:c>
      <x:c r="C19" s="93" t="n">
        <x:v>0.065</x:v>
      </x:c>
      <x:c r="D19" s="93" t="str">
        <x:v>Practical</x:v>
      </x:c>
      <x:c r="E19" s="93" t="n">
        <x:v>1</x:v>
      </x:c>
      <x:c r="F19" s="94" t="n">
        <x:v>10394</x:v>
      </x:c>
      <x:c r="G19" s="93" t="n">
        <x:v>0.5153389711458155</x:v>
      </x:c>
      <x:c r="H19" s="93" t="n">
        <x:v>75.09727860343202</x:v>
      </x:c>
      <x:c r="I19" s="95" t="n">
        <x:v>0.00023072430641854133</x:v>
      </x:c>
      <x:c r="J19" s="95" t="n">
        <x:v>4.60163069974872e-12</x:v>
      </x:c>
      <x:c r="K19" s="95" t="n">
        <x:v>50139683.40204711</x:v>
      </x:c>
      <x:c r="L19" s="95" t="n">
        <x:v>92770283522.70969</x:v>
      </x:c>
      <x:c r="M19" s="95" t="n">
        <x:v>14.434859727369236</x:v>
      </x:c>
      <x:c r="N19" s="95" t="n">
        <x:v>12155272360421.492</x:v>
      </x:c>
      <x:c r="O19" s="95" t="n">
        <x:v>11.48274016976315</x:v>
      </x:c>
      <x:c r="P19" s="93" t="n">
        <x:v>0.1625936070565822</x:v>
      </x:c>
      <x:c r="Q19" s="95" t="n">
        <x:v>3113658461793.243</x:v>
      </x:c>
      <x:c r="R19" s="95" t="n">
        <x:v>6.409825311090411</x:v>
      </x:c>
      <x:c r="S19" s="97" t="n">
        <x:v>0.9166666666666666</x:v>
      </x:c>
      <x:c r="T19" s="93" t="n">
        <x:v>0.5001666666666654</x:v>
      </x:c>
      <x:c r="U19" s="98" t="n">
        <x:v>75.9393036263614</x:v>
      </x:c>
      <x:c r="V19" s="95" t="n">
        <x:v>0.00023323166871866055</x:v>
      </x:c>
      <x:c r="W19" s="95" t="n">
        <x:v>4.9483227028384234e-12</x:v>
      </x:c>
      <x:c r="X19" s="95" t="n">
        <x:v>47133479.91327966</x:v>
      </x:c>
      <x:c r="Y19" s="99" t="n">
        <x:f>IFERROR(IF(ISBLANK(INDEX('Short_TCAD'!$K$2:$K$100,MATCH(B19,'Short_TCAD'!$A$2:$A$100,0))),"",INDEX('Short_TCAD'!$K$2:$K$100,MATCH(B19,'Short_TCAD'!$A$2:$A$100,0))),"")</x:f>
        <x:v>0.499</x:v>
      </x:c>
      <x:c r="Z19" s="100" t="n">
        <x:f>IFERROR(IF(ISBLANK(INDEX('Short_TCAD'!$L$2:$L$100,MATCH(B19,'Short_TCAD'!$A$2:$A$100,0))),"",INDEX('Short_TCAD'!$L$2:$L$100,MATCH(B19,'Short_TCAD'!$A$2:$A$100,0))),"")</x:f>
        <x:v>75.185</x:v>
      </x:c>
      <x:c r="AA19" s="96" t="n">
        <x:f>IFERROR(IF(ISBLANK(INDEX('Short_TCAD'!$M$2:$M$100,MATCH(B19,'Short_TCAD'!$A$2:$A$100,0))),"",INDEX('Short_TCAD'!$M$2:$M$100,MATCH(B19,'Short_TCAD'!$A$2:$A$100,0))),"")</x:f>
        <x:v>0.0003728</x:v>
      </x:c>
      <x:c r="AB19" s="96" t="n">
        <x:f>IFERROR(IF(ISBLANK(INDEX('Short_TCAD'!$N$2:$N$100,MATCH(B19,'Short_TCAD'!$A$2:$A$100,0))),"",INDEX('Short_TCAD'!$N$2:$N$100,MATCH(B19,'Short_TCAD'!$A$2:$A$100,0))),"")</x:f>
        <x:v>1.071e-11</x:v>
      </x:c>
      <x:c r="AC19" s="95" t="n">
        <x:f>IF(OR(NOT(ISNUMBER(AA19)),NOT(ISNUMBER(AB19))),"",AA19/AB19)</x:f>
        <x:v>34808590.10270775</x:v>
      </x:c>
      <x:c r="AD19" s="93" t="n">
        <x:f>IF(NOT(ISNUMBER(Y19)),"",ABS(Y19-T19)*1000)</x:f>
        <x:v>1.166666666665428</x:v>
      </x:c>
      <x:c r="AE19" s="93" t="n">
        <x:f>IF(NOT(ISNUMBER(Z19)),"",ABS(Z19-U19))</x:f>
        <x:v>0.7543036263613914</x:v>
      </x:c>
      <x:c r="AF19" s="93" t="n">
        <x:f>IF(NOT(ISNUMBER(AA19)),"",ABS(LOG10(AA19)-LOG10(V19)))</x:f>
        <x:v>0.2036883841130699</x:v>
      </x:c>
      <x:c r="AG19" s="93" t="n">
        <x:f>IF(NOT(ISNUMBER(AB19)),"",ABS(LOG10(AB19)-LOG10(W19)))</x:f>
        <x:v>0.3353314566145009</x:v>
      </x:c>
      <x:c r="AH19" s="93" t="n">
        <x:f>IF(NOT(ISNUMBER(AC19)),"",ABS(LOG10(AC19)-LOG10(X19)))</x:f>
        <x:v>0.13164307250136975</x:v>
      </x:c>
      <x:c r="AI19" s="85" t="str">
        <x:f>IF(OR(NOT(ISNUMBER(Y19)),NOT(ISNUMBER(Z19)),NOT(ISNUMBER(AA19)),NOT(ISNUMBER(AB19))),"",IF(AND(Y19&gt;=0.3,Y19&lt;=1.2,Z19&lt;=200,AA19&gt;=1E-4,AB19&lt;=1E-6),"PASS","FAIL"))</x:f>
        <x:v>PASS</x:v>
      </x:c>
      <x:c r="AJ19" s="85" t="str"/>
    </x:row>
    <x:row r="20">
      <x:c r="A20" s="85" t="str">
        <x:v>S065-19</x:v>
      </x:c>
      <x:c r="B20" s="85" t="str">
        <x:v>R019</x:v>
      </x:c>
      <x:c r="C20" s="93" t="n">
        <x:v>0.065</x:v>
      </x:c>
      <x:c r="D20" s="93" t="str">
        <x:v>Practical</x:v>
      </x:c>
      <x:c r="E20" s="93" t="n">
        <x:v>1</x:v>
      </x:c>
      <x:c r="F20" s="94" t="n">
        <x:v>2358</x:v>
      </x:c>
      <x:c r="G20" s="93" t="n">
        <x:v>0.5256235445617164</x:v>
      </x:c>
      <x:c r="H20" s="93" t="n">
        <x:v>74.518</x:v>
      </x:c>
      <x:c r="I20" s="95" t="n">
        <x:v>0.0009022238909270701</x:v>
      </x:c>
      <x:c r="J20" s="95" t="n">
        <x:v>1.287126594390162e-10</x:v>
      </x:c>
      <x:c r="K20" s="95" t="n">
        <x:v>7009597.151199739</x:v>
      </x:c>
      <x:c r="L20" s="95" t="n">
        <x:v>64584084115.96529</x:v>
      </x:c>
      <x:c r="M20" s="95" t="n">
        <x:v>7.477833677362876</x:v>
      </x:c>
      <x:c r="N20" s="95" t="n">
        <x:v>64712151425040.766</x:v>
      </x:c>
      <x:c r="O20" s="95" t="n">
        <x:v>8.7019390292605</x:v>
      </x:c>
      <x:c r="P20" s="93" t="n">
        <x:v>0.4723917583463206</x:v>
      </x:c>
      <x:c r="Q20" s="95" t="n">
        <x:v>8285531803550.193</x:v>
      </x:c>
      <x:c r="R20" s="95" t="n">
        <x:v>7.96983001805876</x:v>
      </x:c>
      <x:c r="S20" s="97" t="n">
        <x:v>0.9833333333333333</x:v>
      </x:c>
      <x:c r="T20" s="93" t="n">
        <x:v>0.5469566666666648</x:v>
      </x:c>
      <x:c r="U20" s="98" t="n">
        <x:v>89.38978280881079</x:v>
      </x:c>
      <x:c r="V20" s="95" t="n">
        <x:v>0.000997847145319654</x:v>
      </x:c>
      <x:c r="W20" s="95" t="n">
        <x:v>1.7145623027025157e-10</x:v>
      </x:c>
      <x:c r="X20" s="95" t="n">
        <x:v>5819836.023146165</x:v>
      </x:c>
      <x:c r="Y20" s="99" t="n">
        <x:f>IFERROR(IF(ISBLANK(INDEX('Short_TCAD'!$K$2:$K$100,MATCH(B20,'Short_TCAD'!$A$2:$A$100,0))),"",INDEX('Short_TCAD'!$K$2:$K$100,MATCH(B20,'Short_TCAD'!$A$2:$A$100,0))),"")</x:f>
        <x:v>0.546</x:v>
      </x:c>
      <x:c r="Z20" s="100" t="n">
        <x:f>IFERROR(IF(ISBLANK(INDEX('Short_TCAD'!$L$2:$L$100,MATCH(B20,'Short_TCAD'!$A$2:$A$100,0))),"",INDEX('Short_TCAD'!$L$2:$L$100,MATCH(B20,'Short_TCAD'!$A$2:$A$100,0))),"")</x:f>
        <x:v>78.076</x:v>
      </x:c>
      <x:c r="AA20" s="96" t="n">
        <x:f>IFERROR(IF(ISBLANK(INDEX('Short_TCAD'!$M$2:$M$100,MATCH(B20,'Short_TCAD'!$A$2:$A$100,0))),"",INDEX('Short_TCAD'!$M$2:$M$100,MATCH(B20,'Short_TCAD'!$A$2:$A$100,0))),"")</x:f>
        <x:v>0.001291</x:v>
      </x:c>
      <x:c r="AB20" s="96" t="n">
        <x:f>IFERROR(IF(ISBLANK(INDEX('Short_TCAD'!$N$2:$N$100,MATCH(B20,'Short_TCAD'!$A$2:$A$100,0))),"",INDEX('Short_TCAD'!$N$2:$N$100,MATCH(B20,'Short_TCAD'!$A$2:$A$100,0))),"")</x:f>
        <x:v>5.35e-11</x:v>
      </x:c>
      <x:c r="AC20" s="95" t="n">
        <x:f>IF(OR(NOT(ISNUMBER(AA20)),NOT(ISNUMBER(AB20))),"",AA20/AB20)</x:f>
        <x:v>24130841.121495325</x:v>
      </x:c>
      <x:c r="AD20" s="93" t="n">
        <x:f>IF(NOT(ISNUMBER(Y20)),"",ABS(Y20-T20)*1000)</x:f>
        <x:v>0.9566666666647183</x:v>
      </x:c>
      <x:c r="AE20" s="93" t="n">
        <x:f>IF(NOT(ISNUMBER(Z20)),"",ABS(Z20-U20))</x:f>
        <x:v>11.3137828088108</x:v>
      </x:c>
      <x:c r="AF20" s="93" t="n">
        <x:f>IF(NOT(ISNUMBER(AA20)),"",ABS(LOG10(AA20)-LOG10(V20)))</x:f>
        <x:v>0.11186222305163973</x:v>
      </x:c>
      <x:c r="AG20" s="93" t="n">
        <x:f>IF(NOT(ISNUMBER(AB20)),"",ABS(LOG10(AB20)-LOG10(W20)))</x:f>
        <x:v>0.5057994888402604</x:v>
      </x:c>
      <x:c r="AH20" s="93" t="n">
        <x:f>IF(NOT(ISNUMBER(AC20)),"",ABS(LOG10(AC20)-LOG10(X20)))</x:f>
        <x:v>0.6176617118918699</x:v>
      </x:c>
      <x:c r="AI20" s="85" t="str">
        <x:f>IF(OR(NOT(ISNUMBER(Y20)),NOT(ISNUMBER(Z20)),NOT(ISNUMBER(AA20)),NOT(ISNUMBER(AB20))),"",IF(AND(Y20&gt;=0.3,Y20&lt;=1.2,Z20&lt;=200,AA20&gt;=1E-4,AB20&lt;=1E-6),"PASS","FAIL"))</x:f>
        <x:v>PASS</x:v>
      </x:c>
      <x:c r="AJ20" s="85" t="str"/>
    </x:row>
    <x:row r="21">
      <x:c r="A21" s="85" t="str">
        <x:v>S065-20</x:v>
      </x:c>
      <x:c r="B21" s="85" t="str">
        <x:v>R020</x:v>
      </x:c>
      <x:c r="C21" s="93" t="n">
        <x:v>0.065</x:v>
      </x:c>
      <x:c r="D21" s="93" t="str">
        <x:v>Practical</x:v>
      </x:c>
      <x:c r="E21" s="93" t="n">
        <x:v>1</x:v>
      </x:c>
      <x:c r="F21" s="94" t="n">
        <x:v>7393</x:v>
      </x:c>
      <x:c r="G21" s="93" t="n">
        <x:v>0.5089084010519783</x:v>
      </x:c>
      <x:c r="H21" s="93" t="n">
        <x:v>82.81939392220251</x:v>
      </x:c>
      <x:c r="I21" s="95" t="n">
        <x:v>0.0014381451669095787</x:v>
      </x:c>
      <x:c r="J21" s="95" t="n">
        <x:v>6.472026277129378e-9</x:v>
      </x:c>
      <x:c r="K21" s="95" t="n">
        <x:v>222209.41407355625</x:v>
      </x:c>
      <x:c r="L21" s="95" t="n">
        <x:v>14061241227.242247</x:v>
      </x:c>
      <x:c r="M21" s="95" t="n">
        <x:v>9.941985032874452</x:v>
      </x:c>
      <x:c r="N21" s="95" t="n">
        <x:v>70895946275744.77</x:v>
      </x:c>
      <x:c r="O21" s="95" t="n">
        <x:v>7.5470405594453585</x:v>
      </x:c>
      <x:c r="P21" s="93" t="n">
        <x:v>0.2936700232505619</x:v>
      </x:c>
      <x:c r="Q21" s="95" t="n">
        <x:v>1386632067426.2798</x:v>
      </x:c>
      <x:c r="R21" s="95" t="n">
        <x:v>8.975262842903044</x:v>
      </x:c>
      <x:c r="S21" s="97" t="n">
        <x:v>0.9966666666666667</x:v>
      </x:c>
      <x:c r="T21" s="93" t="n">
        <x:v>0.5017433333333351</x:v>
      </x:c>
      <x:c r="U21" s="98" t="n">
        <x:v>88.27233900258122</x:v>
      </x:c>
      <x:c r="V21" s="95" t="n">
        <x:v>0.0013335927472024924</x:v>
      </x:c>
      <x:c r="W21" s="95" t="n">
        <x:v>6.4277203833186174e-9</x:v>
      </x:c>
      <x:c r="X21" s="95" t="n">
        <x:v>207475.22724595582</x:v>
      </x:c>
      <x:c r="Y21" s="99" t="n">
        <x:f>IFERROR(IF(ISBLANK(INDEX('Short_TCAD'!$K$2:$K$100,MATCH(B21,'Short_TCAD'!$A$2:$A$100,0))),"",INDEX('Short_TCAD'!$K$2:$K$100,MATCH(B21,'Short_TCAD'!$A$2:$A$100,0))),"")</x:f>
        <x:v>0.494</x:v>
      </x:c>
      <x:c r="Z21" s="100" t="n">
        <x:f>IFERROR(IF(ISBLANK(INDEX('Short_TCAD'!$L$2:$L$100,MATCH(B21,'Short_TCAD'!$A$2:$A$100,0))),"",INDEX('Short_TCAD'!$L$2:$L$100,MATCH(B21,'Short_TCAD'!$A$2:$A$100,0))),"")</x:f>
        <x:v>106.132</x:v>
      </x:c>
      <x:c r="AA21" s="96" t="n">
        <x:f>IFERROR(IF(ISBLANK(INDEX('Short_TCAD'!$M$2:$M$100,MATCH(B21,'Short_TCAD'!$A$2:$A$100,0))),"",INDEX('Short_TCAD'!$M$2:$M$100,MATCH(B21,'Short_TCAD'!$A$2:$A$100,0))),"")</x:f>
        <x:v>0.001556</x:v>
      </x:c>
      <x:c r="AB21" s="96" t="n">
        <x:f>IFERROR(IF(ISBLANK(INDEX('Short_TCAD'!$N$2:$N$100,MATCH(B21,'Short_TCAD'!$A$2:$A$100,0))),"",INDEX('Short_TCAD'!$N$2:$N$100,MATCH(B21,'Short_TCAD'!$A$2:$A$100,0))),"")</x:f>
        <x:v>1.026e-7</x:v>
      </x:c>
      <x:c r="AC21" s="95" t="n">
        <x:f>IF(OR(NOT(ISNUMBER(AA21)),NOT(ISNUMBER(AB21))),"",AA21/AB21)</x:f>
        <x:v>15165.692007797272</x:v>
      </x:c>
      <x:c r="AD21" s="93" t="n">
        <x:f>IF(NOT(ISNUMBER(Y21)),"",ABS(Y21-T21)*1000)</x:f>
        <x:v>7.743333333335101</x:v>
      </x:c>
      <x:c r="AE21" s="93" t="n">
        <x:f>IF(NOT(ISNUMBER(Z21)),"",ABS(Z21-U21))</x:f>
        <x:v>17.859660997418786</x:v>
      </x:c>
      <x:c r="AF21" s="93" t="n">
        <x:f>IF(NOT(ISNUMBER(AA21)),"",ABS(LOG10(AA21)-LOG10(V21)))</x:f>
        <x:v>0.06698636775520983</x:v>
      </x:c>
      <x:c r="AG21" s="93" t="n">
        <x:f>IF(NOT(ISNUMBER(AB21)),"",ABS(LOG10(AB21)-LOG10(W21)))</x:f>
        <x:v>1.203090384816269</x:v>
      </x:c>
      <x:c r="AH21" s="93" t="n">
        <x:f>IF(NOT(ISNUMBER(AC21)),"",ABS(LOG10(AC21)-LOG10(X21)))</x:f>
        <x:v>1.1361040170610597</x:v>
      </x:c>
      <x:c r="AI21" s="85" t="str">
        <x:f>IF(OR(NOT(ISNUMBER(Y21)),NOT(ISNUMBER(Z21)),NOT(ISNUMBER(AA21)),NOT(ISNUMBER(AB21))),"",IF(AND(Y21&gt;=0.3,Y21&lt;=1.2,Z21&lt;=200,AA21&gt;=1E-4,AB21&lt;=1E-6),"PASS","FAIL"))</x:f>
        <x:v>PASS</x:v>
      </x:c>
      <x:c r="AJ21" s="85" t="str"/>
    </x:row>
    <x:row r="22">
      <x:c r="A22" s="85" t="str">
        <x:v>S065-21</x:v>
      </x:c>
      <x:c r="B22" s="85" t="str">
        <x:v>R021</x:v>
      </x:c>
      <x:c r="C22" s="93" t="n">
        <x:v>0.065</x:v>
      </x:c>
      <x:c r="D22" s="93" t="str">
        <x:v>Practical</x:v>
      </x:c>
      <x:c r="E22" s="93" t="n">
        <x:v>1</x:v>
      </x:c>
      <x:c r="F22" s="94" t="n">
        <x:v>39</x:v>
      </x:c>
      <x:c r="G22" s="93" t="n">
        <x:v>0.6188039218054987</x:v>
      </x:c>
      <x:c r="H22" s="93" t="n">
        <x:v>84.12885843061629</x:v>
      </x:c>
      <x:c r="I22" s="95" t="n">
        <x:v>0.0017910990309189902</x:v>
      </x:c>
      <x:c r="J22" s="95" t="n">
        <x:v>3.868306773627081e-10</x:v>
      </x:c>
      <x:c r="K22" s="95" t="n">
        <x:v>4630188.69943343</x:v>
      </x:c>
      <x:c r="L22" s="95" t="n">
        <x:v>72055883897.61862</x:v>
      </x:c>
      <x:c r="M22" s="95" t="n">
        <x:v>13.8834084057721</x:v>
      </x:c>
      <x:c r="N22" s="95" t="n">
        <x:v>128943981616718.98</x:v>
      </x:c>
      <x:c r="O22" s="95" t="n">
        <x:v>7.530433794776474</x:v>
      </x:c>
      <x:c r="P22" s="93" t="n">
        <x:v>0.11745210754474118</x:v>
      </x:c>
      <x:c r="Q22" s="95" t="n">
        <x:v>8044048856367.868</x:v>
      </x:c>
      <x:c r="R22" s="95" t="n">
        <x:v>3.9209349682750005</x:v>
      </x:c>
      <x:c r="S22" s="97" t="n">
        <x:v>0.94</x:v>
      </x:c>
      <x:c r="T22" s="93" t="n">
        <x:v>0.5591766666666681</x:v>
      </x:c>
      <x:c r="U22" s="98" t="n">
        <x:v>89.19649574509789</x:v>
      </x:c>
      <x:c r="V22" s="95" t="n">
        <x:v>0.0013416266196054345</x:v>
      </x:c>
      <x:c r="W22" s="95" t="n">
        <x:v>2.5670837746524254e-10</x:v>
      </x:c>
      <x:c r="X22" s="95" t="n">
        <x:v>5226267.381114534</x:v>
      </x:c>
      <x:c r="Y22" s="99" t="n">
        <x:f>IFERROR(IF(ISBLANK(INDEX('Short_TCAD'!$K$2:$K$100,MATCH(B22,'Short_TCAD'!$A$2:$A$100,0))),"",INDEX('Short_TCAD'!$K$2:$K$100,MATCH(B22,'Short_TCAD'!$A$2:$A$100,0))),"")</x:f>
        <x:v>0.516</x:v>
      </x:c>
      <x:c r="Z22" s="100" t="n">
        <x:f>IFERROR(IF(ISBLANK(INDEX('Short_TCAD'!$L$2:$L$100,MATCH(B22,'Short_TCAD'!$A$2:$A$100,0))),"",INDEX('Short_TCAD'!$L$2:$L$100,MATCH(B22,'Short_TCAD'!$A$2:$A$100,0))),"")</x:f>
        <x:v>109.986</x:v>
      </x:c>
      <x:c r="AA22" s="96" t="n">
        <x:f>IFERROR(IF(ISBLANK(INDEX('Short_TCAD'!$M$2:$M$100,MATCH(B22,'Short_TCAD'!$A$2:$A$100,0))),"",INDEX('Short_TCAD'!$M$2:$M$100,MATCH(B22,'Short_TCAD'!$A$2:$A$100,0))),"")</x:f>
        <x:v>0.00167</x:v>
      </x:c>
      <x:c r="AB22" s="96" t="n">
        <x:f>IFERROR(IF(ISBLANK(INDEX('Short_TCAD'!$N$2:$N$100,MATCH(B22,'Short_TCAD'!$A$2:$A$100,0))),"",INDEX('Short_TCAD'!$N$2:$N$100,MATCH(B22,'Short_TCAD'!$A$2:$A$100,0))),"")</x:f>
        <x:v>1.441e-7</x:v>
      </x:c>
      <x:c r="AC22" s="95" t="n">
        <x:f>IF(OR(NOT(ISNUMBER(AA22)),NOT(ISNUMBER(AB22))),"",AA22/AB22)</x:f>
        <x:v>11589.174184594032</x:v>
      </x:c>
      <x:c r="AD22" s="93" t="n">
        <x:f>IF(NOT(ISNUMBER(Y22)),"",ABS(Y22-T22)*1000)</x:f>
        <x:v>43.17666666666808</x:v>
      </x:c>
      <x:c r="AE22" s="93" t="n">
        <x:f>IF(NOT(ISNUMBER(Z22)),"",ABS(Z22-U22))</x:f>
        <x:v>20.789504254902113</x:v>
      </x:c>
      <x:c r="AF22" s="93" t="n">
        <x:f>IF(NOT(ISNUMBER(AA22)),"",ABS(LOG10(AA22)-LOG10(V22)))</x:f>
        <x:v>0.09508480450046042</x:v>
      </x:c>
      <x:c r="AG22" s="93" t="n">
        <x:f>IF(NOT(ISNUMBER(AB22)),"",ABS(LOG10(AB22)-LOG10(W22)))</x:f>
        <x:v>2.749223939070629</x:v>
      </x:c>
      <x:c r="AH22" s="93" t="n">
        <x:f>IF(NOT(ISNUMBER(AC22)),"",ABS(LOG10(AC22)-LOG10(X22)))</x:f>
        <x:v>2.65413913457017</x:v>
      </x:c>
      <x:c r="AI22" s="85" t="str">
        <x:f>IF(OR(NOT(ISNUMBER(Y22)),NOT(ISNUMBER(Z22)),NOT(ISNUMBER(AA22)),NOT(ISNUMBER(AB22))),"",IF(AND(Y22&gt;=0.3,Y22&lt;=1.2,Z22&lt;=200,AA22&gt;=1E-4,AB22&lt;=1E-6),"PASS","FAIL"))</x:f>
        <x:v>PASS</x:v>
      </x:c>
      <x:c r="AJ22" s="85" t="str"/>
    </x:row>
    <x:row r="23">
      <x:c r="A23" s="85" t="str">
        <x:v>S065-22</x:v>
      </x:c>
      <x:c r="B23" s="85" t="str">
        <x:v>R022</x:v>
      </x:c>
      <x:c r="C23" s="93" t="n">
        <x:v>0.065</x:v>
      </x:c>
      <x:c r="D23" s="93" t="str">
        <x:v>Practical</x:v>
      </x:c>
      <x:c r="E23" s="93" t="n">
        <x:v>1</x:v>
      </x:c>
      <x:c r="F23" s="94" t="n">
        <x:v>1722</x:v>
      </x:c>
      <x:c r="G23" s="93" t="n">
        <x:v>0.6181077475118907</x:v>
      </x:c>
      <x:c r="H23" s="93" t="n">
        <x:v>75.3513928188733</x:v>
      </x:c>
      <x:c r="I23" s="95" t="n">
        <x:v>0.0008651265093496722</x:v>
      </x:c>
      <x:c r="J23" s="95" t="n">
        <x:v>5.670275955134577e-13</x:v>
      </x:c>
      <x:c r="K23" s="95" t="n">
        <x:v>1525722056.906734</x:v>
      </x:c>
      <x:c r="L23" s="95" t="n">
        <x:v>10550511195.672283</x:v>
      </x:c>
      <x:c r="M23" s="95" t="n">
        <x:v>7.93012247549481</x:v>
      </x:c>
      <x:c r="N23" s="95" t="n">
        <x:v>58299419490974</x:v>
      </x:c>
      <x:c r="O23" s="95" t="n">
        <x:v>7.388123646317356</x:v>
      </x:c>
      <x:c r="P23" s="93" t="n">
        <x:v>0.37870750002494824</x:v>
      </x:c>
      <x:c r="Q23" s="95" t="n">
        <x:v>10404716374698.232</x:v>
      </x:c>
      <x:c r="R23" s="95" t="n">
        <x:v>7.374370785793282</x:v>
      </x:c>
      <x:c r="S23" s="97" t="n">
        <x:v>0.98</x:v>
      </x:c>
      <x:c r="T23" s="93" t="n">
        <x:v>0.6167100000000025</x:v>
      </x:c>
      <x:c r="U23" s="98" t="n">
        <x:v>76.68087571292213</x:v>
      </x:c>
      <x:c r="V23" s="95" t="n">
        <x:v>0.0009779022385685528</x:v>
      </x:c>
      <x:c r="W23" s="95" t="n">
        <x:v>5.390771894416199e-13</x:v>
      </x:c>
      <x:c r="X23" s="95" t="n">
        <x:v>1814030082.7446828</x:v>
      </x:c>
      <x:c r="Y23" s="99" t="n">
        <x:f>IFERROR(IF(ISBLANK(INDEX('Short_TCAD'!$K$2:$K$100,MATCH(B23,'Short_TCAD'!$A$2:$A$100,0))),"",INDEX('Short_TCAD'!$K$2:$K$100,MATCH(B23,'Short_TCAD'!$A$2:$A$100,0))),"")</x:f>
        <x:v>0.601</x:v>
      </x:c>
      <x:c r="Z23" s="100" t="n">
        <x:f>IFERROR(IF(ISBLANK(INDEX('Short_TCAD'!$L$2:$L$100,MATCH(B23,'Short_TCAD'!$A$2:$A$100,0))),"",INDEX('Short_TCAD'!$L$2:$L$100,MATCH(B23,'Short_TCAD'!$A$2:$A$100,0))),"")</x:f>
        <x:v>73.325</x:v>
      </x:c>
      <x:c r="AA23" s="96" t="n">
        <x:f>IFERROR(IF(ISBLANK(INDEX('Short_TCAD'!$M$2:$M$100,MATCH(B23,'Short_TCAD'!$A$2:$A$100,0))),"",INDEX('Short_TCAD'!$M$2:$M$100,MATCH(B23,'Short_TCAD'!$A$2:$A$100,0))),"")</x:f>
        <x:v>0.00113</x:v>
      </x:c>
      <x:c r="AB23" s="96" t="n">
        <x:f>IFERROR(IF(ISBLANK(INDEX('Short_TCAD'!$N$2:$N$100,MATCH(B23,'Short_TCAD'!$A$2:$A$100,0))),"",INDEX('Short_TCAD'!$N$2:$N$100,MATCH(B23,'Short_TCAD'!$A$2:$A$100,0))),"")</x:f>
        <x:v>3.044e-13</x:v>
      </x:c>
      <x:c r="AC23" s="95" t="n">
        <x:f>IF(OR(NOT(ISNUMBER(AA23)),NOT(ISNUMBER(AB23))),"",AA23/AB23)</x:f>
        <x:v>3712220762.155059</x:v>
      </x:c>
      <x:c r="AD23" s="93" t="n">
        <x:f>IF(NOT(ISNUMBER(Y23)),"",ABS(Y23-T23)*1000)</x:f>
        <x:v>15.710000000002555</x:v>
      </x:c>
      <x:c r="AE23" s="93" t="n">
        <x:f>IF(NOT(ISNUMBER(Z23)),"",ABS(Z23-U23))</x:f>
        <x:v>3.3558757129221277</x:v>
      </x:c>
      <x:c r="AF23" s="93" t="n">
        <x:f>IF(NOT(ISNUMBER(AA23)),"",ABS(LOG10(AA23)-LOG10(V23)))</x:f>
        <x:v>0.0627830031870098</x:v>
      </x:c>
      <x:c r="AG23" s="93" t="n">
        <x:f>IF(NOT(ISNUMBER(AB23)),"",ABS(LOG10(AB23)-LOG10(W23)))</x:f>
        <x:v>0.2482063073450007</x:v>
      </x:c>
      <x:c r="AH23" s="93" t="n">
        <x:f>IF(NOT(ISNUMBER(AC23)),"",ABS(LOG10(AC23)-LOG10(X23)))</x:f>
        <x:v>0.31098931053197987</x:v>
      </x:c>
      <x:c r="AI23" s="85" t="str">
        <x:f>IF(OR(NOT(ISNUMBER(Y23)),NOT(ISNUMBER(Z23)),NOT(ISNUMBER(AA23)),NOT(ISNUMBER(AB23))),"",IF(AND(Y23&gt;=0.3,Y23&lt;=1.2,Z23&lt;=200,AA23&gt;=1E-4,AB23&lt;=1E-6),"PASS","FAIL"))</x:f>
        <x:v>PASS</x:v>
      </x:c>
      <x:c r="AJ23" s="85" t="str"/>
    </x:row>
    <x:row r="24">
      <x:c r="A24" s="85" t="str">
        <x:v>S065-23</x:v>
      </x:c>
      <x:c r="B24" s="85" t="str">
        <x:v>R023</x:v>
      </x:c>
      <x:c r="C24" s="93" t="n">
        <x:v>0.065</x:v>
      </x:c>
      <x:c r="D24" s="93" t="str">
        <x:v>Practical</x:v>
      </x:c>
      <x:c r="E24" s="93" t="n">
        <x:v>1</x:v>
      </x:c>
      <x:c r="F24" s="94" t="n">
        <x:v>1147</x:v>
      </x:c>
      <x:c r="G24" s="93" t="n">
        <x:v>0.5402712588158299</x:v>
      </x:c>
      <x:c r="H24" s="93" t="n">
        <x:v>78.22717041890496</x:v>
      </x:c>
      <x:c r="I24" s="95" t="n">
        <x:v>0.0013903383492609954</x:v>
      </x:c>
      <x:c r="J24" s="95" t="n">
        <x:v>2.3084579970666168e-10</x:v>
      </x:c>
      <x:c r="K24" s="95" t="n">
        <x:v>6022801.155696633</x:v>
      </x:c>
      <x:c r="L24" s="95" t="n">
        <x:v>86111079759.64792</x:v>
      </x:c>
      <x:c r="M24" s="95" t="n">
        <x:v>13.535367783254554</x:v>
      </x:c>
      <x:c r="N24" s="95" t="n">
        <x:v>101508750005297.92</x:v>
      </x:c>
      <x:c r="O24" s="95" t="n">
        <x:v>7.4038037902874505</x:v>
      </x:c>
      <x:c r="P24" s="93" t="n">
        <x:v>0.37685248364857077</x:v>
      </x:c>
      <x:c r="Q24" s="95" t="n">
        <x:v>15112236858698.604</x:v>
      </x:c>
      <x:c r="R24" s="95" t="n">
        <x:v>6.40915028826829</x:v>
      </x:c>
      <x:c r="S24" s="97" t="n">
        <x:v>0.99</x:v>
      </x:c>
      <x:c r="T24" s="93" t="n">
        <x:v>0.5552966666666672</x:v>
      </x:c>
      <x:c r="U24" s="98" t="n">
        <x:v>83.83783236351653</x:v>
      </x:c>
      <x:c r="V24" s="95" t="n">
        <x:v>0.00158133420818817</x:v>
      </x:c>
      <x:c r="W24" s="95" t="n">
        <x:v>2.0733363325523988e-10</x:v>
      </x:c>
      <x:c r="X24" s="95" t="n">
        <x:v>7627002.832875912</x:v>
      </x:c>
      <x:c r="Y24" s="99" t="n">
        <x:f>IFERROR(IF(ISBLANK(INDEX('Short_TCAD'!$K$2:$K$100,MATCH(B24,'Short_TCAD'!$A$2:$A$100,0))),"",INDEX('Short_TCAD'!$K$2:$K$100,MATCH(B24,'Short_TCAD'!$A$2:$A$100,0))),"")</x:f>
        <x:v>0.592</x:v>
      </x:c>
      <x:c r="Z24" s="100" t="n">
        <x:f>IFERROR(IF(ISBLANK(INDEX('Short_TCAD'!$L$2:$L$100,MATCH(B24,'Short_TCAD'!$A$2:$A$100,0))),"",INDEX('Short_TCAD'!$L$2:$L$100,MATCH(B24,'Short_TCAD'!$A$2:$A$100,0))),"")</x:f>
        <x:v>76.021</x:v>
      </x:c>
      <x:c r="AA24" s="96" t="n">
        <x:f>IFERROR(IF(ISBLANK(INDEX('Short_TCAD'!$M$2:$M$100,MATCH(B24,'Short_TCAD'!$A$2:$A$100,0))),"",INDEX('Short_TCAD'!$M$2:$M$100,MATCH(B24,'Short_TCAD'!$A$2:$A$100,0))),"")</x:f>
        <x:v>0.001499</x:v>
      </x:c>
      <x:c r="AB24" s="96" t="n">
        <x:f>IFERROR(IF(ISBLANK(INDEX('Short_TCAD'!$N$2:$N$100,MATCH(B24,'Short_TCAD'!$A$2:$A$100,0))),"",INDEX('Short_TCAD'!$N$2:$N$100,MATCH(B24,'Short_TCAD'!$A$2:$A$100,0))),"")</x:f>
        <x:v>4.168e-12</x:v>
      </x:c>
      <x:c r="AC24" s="95" t="n">
        <x:f>IF(OR(NOT(ISNUMBER(AA24)),NOT(ISNUMBER(AB24))),"",AA24/AB24)</x:f>
        <x:v>359644913.6276391</x:v>
      </x:c>
      <x:c r="AD24" s="93" t="n">
        <x:f>IF(NOT(ISNUMBER(Y24)),"",ABS(Y24-T24)*1000)</x:f>
        <x:v>36.70333333333276</x:v>
      </x:c>
      <x:c r="AE24" s="93" t="n">
        <x:f>IF(NOT(ISNUMBER(Z24)),"",ABS(Z24-U24))</x:f>
        <x:v>7.816832363516525</x:v>
      </x:c>
      <x:c r="AF24" s="93" t="n">
        <x:f>IF(NOT(ISNUMBER(AA24)),"",ABS(LOG10(AA24)-LOG10(V24)))</x:f>
        <x:v>0.023222033056720104</x:v>
      </x:c>
      <x:c r="AG24" s="93" t="n">
        <x:f>IF(NOT(ISNUMBER(AB24)),"",ABS(LOG10(AB24)-LOG10(W24)))</x:f>
        <x:v>1.6967420479159987</x:v>
      </x:c>
      <x:c r="AH24" s="93" t="n">
        <x:f>IF(NOT(ISNUMBER(AC24)),"",ABS(LOG10(AC24)-LOG10(X24)))</x:f>
        <x:v>1.6735200148593092</x:v>
      </x:c>
      <x:c r="AI24" s="85" t="str">
        <x:f>IF(OR(NOT(ISNUMBER(Y24)),NOT(ISNUMBER(Z24)),NOT(ISNUMBER(AA24)),NOT(ISNUMBER(AB24))),"",IF(AND(Y24&gt;=0.3,Y24&lt;=1.2,Z24&lt;=200,AA24&gt;=1E-4,AB24&lt;=1E-6),"PASS","FAIL"))</x:f>
        <x:v>PASS</x:v>
      </x:c>
      <x:c r="AJ24" s="85" t="str"/>
    </x:row>
    <x:row r="25">
      <x:c r="A25" s="85" t="str">
        <x:v>S065-24</x:v>
      </x:c>
      <x:c r="B25" s="85" t="str">
        <x:v>R024</x:v>
      </x:c>
      <x:c r="C25" s="93" t="n">
        <x:v>0.065</x:v>
      </x:c>
      <x:c r="D25" s="93" t="str">
        <x:v>Practical</x:v>
      </x:c>
      <x:c r="E25" s="93" t="n">
        <x:v>1</x:v>
      </x:c>
      <x:c r="F25" s="94" t="n">
        <x:v>4283</x:v>
      </x:c>
      <x:c r="G25" s="93" t="n">
        <x:v>0.7811569786095147</x:v>
      </x:c>
      <x:c r="H25" s="93" t="n">
        <x:v>80.6045575891043</x:v>
      </x:c>
      <x:c r="I25" s="95" t="n">
        <x:v>0.000531278246781721</x:v>
      </x:c>
      <x:c r="J25" s="95" t="n">
        <x:v>2.02818362402512e-15</x:v>
      </x:c>
      <x:c r="K25" s="95" t="n">
        <x:v>261947804177.2912</x:v>
      </x:c>
      <x:c r="L25" s="95" t="n">
        <x:v>41177427253.793396</x:v>
      </x:c>
      <x:c r="M25" s="95" t="n">
        <x:v>13.15079374550987</x:v>
      </x:c>
      <x:c r="N25" s="95" t="n">
        <x:v>87659082993964.97</x:v>
      </x:c>
      <x:c r="O25" s="95" t="n">
        <x:v>14.414481182686554</x:v>
      </x:c>
      <x:c r="P25" s="93" t="n">
        <x:v>0.10775813737565554</x:v>
      </x:c>
      <x:c r="Q25" s="95" t="n">
        <x:v>57558492051123.94</x:v>
      </x:c>
      <x:c r="R25" s="95" t="n">
        <x:v>8.701123648450167</x:v>
      </x:c>
      <x:c r="S25" s="97" t="n">
        <x:v>0.9533333333333334</x:v>
      </x:c>
      <x:c r="T25" s="93" t="n">
        <x:v>0.7829166666666616</x:v>
      </x:c>
      <x:c r="U25" s="98" t="n">
        <x:v>80.75450515616522</x:v>
      </x:c>
      <x:c r="V25" s="95" t="n">
        <x:v>0.0004852303205674211</x:v>
      </x:c>
      <x:c r="W25" s="95" t="n">
        <x:v>2.2603464142702236e-15</x:v>
      </x:c>
      <x:c r="X25" s="95" t="n">
        <x:v>214670776790.6818</x:v>
      </x:c>
      <x:c r="Y25" s="99" t="n">
        <x:f>IFERROR(IF(ISBLANK(INDEX('Short_TCAD'!$K$2:$K$100,MATCH(B25,'Short_TCAD'!$A$2:$A$100,0))),"",INDEX('Short_TCAD'!$K$2:$K$100,MATCH(B25,'Short_TCAD'!$A$2:$A$100,0))),"")</x:f>
        <x:v>1.099</x:v>
      </x:c>
      <x:c r="Z25" s="100" t="n">
        <x:f>IFERROR(IF(ISBLANK(INDEX('Short_TCAD'!$L$2:$L$100,MATCH(B25,'Short_TCAD'!$A$2:$A$100,0))),"",INDEX('Short_TCAD'!$L$2:$L$100,MATCH(B25,'Short_TCAD'!$A$2:$A$100,0))),"")</x:f>
        <x:v>90.948</x:v>
      </x:c>
      <x:c r="AA25" s="96" t="n">
        <x:f>IFERROR(IF(ISBLANK(INDEX('Short_TCAD'!$M$2:$M$100,MATCH(B25,'Short_TCAD'!$A$2:$A$100,0))),"",INDEX('Short_TCAD'!$M$2:$M$100,MATCH(B25,'Short_TCAD'!$A$2:$A$100,0))),"")</x:f>
        <x:v>0.0002433</x:v>
      </x:c>
      <x:c r="AB25" s="96" t="n">
        <x:f>IFERROR(IF(ISBLANK(INDEX('Short_TCAD'!$N$2:$N$100,MATCH(B25,'Short_TCAD'!$A$2:$A$100,0))),"",INDEX('Short_TCAD'!$N$2:$N$100,MATCH(B25,'Short_TCAD'!$A$2:$A$100,0))),"")</x:f>
        <x:v>2.658e-15</x:v>
      </x:c>
      <x:c r="AC25" s="95" t="n">
        <x:f>IF(OR(NOT(ISNUMBER(AA25)),NOT(ISNUMBER(AB25))),"",AA25/AB25)</x:f>
        <x:v>91534988713.3183</x:v>
      </x:c>
      <x:c r="AD25" s="93" t="n">
        <x:f>IF(NOT(ISNUMBER(Y25)),"",ABS(Y25-T25)*1000)</x:f>
        <x:v>316.0833333333384</x:v>
      </x:c>
      <x:c r="AE25" s="93" t="n">
        <x:f>IF(NOT(ISNUMBER(Z25)),"",ABS(Z25-U25))</x:f>
        <x:v>10.19349484383477</x:v>
      </x:c>
      <x:c r="AF25" s="93" t="n">
        <x:f>IF(NOT(ISNUMBER(AA25)),"",ABS(LOG10(AA25)-LOG10(V25)))</x:f>
        <x:v>0.29980582185336013</x:v>
      </x:c>
      <x:c r="AG25" s="93" t="n">
        <x:f>IF(NOT(ISNUMBER(AB25)),"",ABS(LOG10(AB25)-LOG10(W25)))</x:f>
        <x:v>0.07037997361990023</x:v>
      </x:c>
      <x:c r="AH25" s="93" t="n">
        <x:f>IF(NOT(ISNUMBER(AC25)),"",ABS(LOG10(AC25)-LOG10(X25)))</x:f>
        <x:v>0.37018579547330077</x:v>
      </x:c>
      <x:c r="AI25" s="85" t="str">
        <x:f>IF(OR(NOT(ISNUMBER(Y25)),NOT(ISNUMBER(Z25)),NOT(ISNUMBER(AA25)),NOT(ISNUMBER(AB25))),"",IF(AND(Y25&gt;=0.3,Y25&lt;=1.2,Z25&lt;=200,AA25&gt;=1E-4,AB25&lt;=1E-6),"PASS","FAIL"))</x:f>
        <x:v>PASS</x:v>
      </x:c>
      <x:c r="AJ25" s="85" t="str"/>
    </x:row>
    <x:row r="26">
      <x:c r="A26" s="85" t="str">
        <x:v>S065-25</x:v>
      </x:c>
      <x:c r="B26" s="85" t="str">
        <x:v>R025</x:v>
      </x:c>
      <x:c r="C26" s="93" t="n">
        <x:v>0.065</x:v>
      </x:c>
      <x:c r="D26" s="93" t="str">
        <x:v>Practical</x:v>
      </x:c>
      <x:c r="E26" s="93" t="n">
        <x:v>1</x:v>
      </x:c>
      <x:c r="F26" s="94" t="n">
        <x:v>2607</x:v>
      </x:c>
      <x:c r="G26" s="93" t="n">
        <x:v>0.7084446352017304</x:v>
      </x:c>
      <x:c r="H26" s="93" t="n">
        <x:v>74.518</x:v>
      </x:c>
      <x:c r="I26" s="95" t="n">
        <x:v>0.001095100088385481</x:v>
      </x:c>
      <x:c r="J26" s="95" t="n">
        <x:v>3.847252943329348e-15</x:v>
      </x:c>
      <x:c r="K26" s="95" t="n">
        <x:v>284644681417.22955</x:v>
      </x:c>
      <x:c r="L26" s="95" t="n">
        <x:v>13312886867.190495</x:v>
      </x:c>
      <x:c r="M26" s="95" t="n">
        <x:v>6.772951236742584</x:v>
      </x:c>
      <x:c r="N26" s="95" t="n">
        <x:v>189736669757650.1</x:v>
      </x:c>
      <x:c r="O26" s="95" t="n">
        <x:v>12.745482749369344</x:v>
      </x:c>
      <x:c r="P26" s="93" t="n">
        <x:v>0.17288602654504737</x:v>
      </x:c>
      <x:c r="Q26" s="95" t="n">
        <x:v>82574909562004.27</x:v>
      </x:c>
      <x:c r="R26" s="95" t="n">
        <x:v>8.58568346918723</x:v>
      </x:c>
      <x:c r="S26" s="97" t="n">
        <x:v>0.91</x:v>
      </x:c>
      <x:c r="T26" s="93" t="n">
        <x:v>0.7274600000000017</x:v>
      </x:c>
      <x:c r="U26" s="98" t="n">
        <x:v>81.14388158871</x:v>
      </x:c>
      <x:c r="V26" s="95" t="n">
        <x:v>0.0010146189875505785</x:v>
      </x:c>
      <x:c r="W26" s="95" t="n">
        <x:v>4.583594275175294e-15</x:v>
      </x:c>
      <x:c r="X26" s="95" t="n">
        <x:v>221358812896.19064</x:v>
      </x:c>
      <x:c r="Y26" s="99" t="n">
        <x:f>IFERROR(IF(ISBLANK(INDEX('Short_TCAD'!$K$2:$K$100,MATCH(B26,'Short_TCAD'!$A$2:$A$100,0))),"",INDEX('Short_TCAD'!$K$2:$K$100,MATCH(B26,'Short_TCAD'!$A$2:$A$100,0))),"")</x:f>
        <x:v>0.807</x:v>
      </x:c>
      <x:c r="Z26" s="100" t="n">
        <x:f>IFERROR(IF(ISBLANK(INDEX('Short_TCAD'!$L$2:$L$100,MATCH(B26,'Short_TCAD'!$A$2:$A$100,0))),"",INDEX('Short_TCAD'!$L$2:$L$100,MATCH(B26,'Short_TCAD'!$A$2:$A$100,0))),"")</x:f>
        <x:v>79.862</x:v>
      </x:c>
      <x:c r="AA26" s="96" t="n">
        <x:f>IFERROR(IF(ISBLANK(INDEX('Short_TCAD'!$M$2:$M$100,MATCH(B26,'Short_TCAD'!$A$2:$A$100,0))),"",INDEX('Short_TCAD'!$M$2:$M$100,MATCH(B26,'Short_TCAD'!$A$2:$A$100,0))),"")</x:f>
        <x:v>0.0008787</x:v>
      </x:c>
      <x:c r="AB26" s="96" t="n">
        <x:f>IFERROR(IF(ISBLANK(INDEX('Short_TCAD'!$N$2:$N$100,MATCH(B26,'Short_TCAD'!$A$2:$A$100,0))),"",INDEX('Short_TCAD'!$N$2:$N$100,MATCH(B26,'Short_TCAD'!$A$2:$A$100,0))),"")</x:f>
        <x:v>2.915e-15</x:v>
      </x:c>
      <x:c r="AC26" s="95" t="n">
        <x:f>IF(OR(NOT(ISNUMBER(AA26)),NOT(ISNUMBER(AB26))),"",AA26/AB26)</x:f>
        <x:v>301440823327.61584</x:v>
      </x:c>
      <x:c r="AD26" s="93" t="n">
        <x:f>IF(NOT(ISNUMBER(Y26)),"",ABS(Y26-T26)*1000)</x:f>
        <x:v>79.53999999999839</x:v>
      </x:c>
      <x:c r="AE26" s="93" t="n">
        <x:f>IF(NOT(ISNUMBER(Z26)),"",ABS(Z26-U26))</x:f>
        <x:v>1.2818815887100072</x:v>
      </x:c>
      <x:c r="AF26" s="93" t="n">
        <x:f>IF(NOT(ISNUMBER(AA26)),"",ABS(LOG10(AA26)-LOG10(V26)))</x:f>
        <x:v>0.06246235903063013</x:v>
      </x:c>
      <x:c r="AG26" s="93" t="n">
        <x:f>IF(NOT(ISNUMBER(AB26)),"",ABS(LOG10(AB26)-LOG10(W26)))</x:f>
        <x:v>0.19656760923369987</x:v>
      </x:c>
      <x:c r="AH26" s="93" t="n">
        <x:f>IF(NOT(ISNUMBER(AC26)),"",ABS(LOG10(AC26)-LOG10(X26)))</x:f>
        <x:v>0.13410525020300135</x:v>
      </x:c>
      <x:c r="AI26" s="85" t="str">
        <x:f>IF(OR(NOT(ISNUMBER(Y26)),NOT(ISNUMBER(Z26)),NOT(ISNUMBER(AA26)),NOT(ISNUMBER(AB26))),"",IF(AND(Y26&gt;=0.3,Y26&lt;=1.2,Z26&lt;=200,AA26&gt;=1E-4,AB26&lt;=1E-6),"PASS","FAIL"))</x:f>
        <x:v>PASS</x:v>
      </x:c>
      <x:c r="AJ26" s="85" t="str"/>
    </x:row>
    <x:row r="27">
      <x:c r="A27" s="85" t="str">
        <x:v>S065-26</x:v>
      </x:c>
      <x:c r="B27" s="85" t="str">
        <x:v>R026</x:v>
      </x:c>
      <x:c r="C27" s="93" t="n">
        <x:v>0.065</x:v>
      </x:c>
      <x:c r="D27" s="93" t="str">
        <x:v>Practical</x:v>
      </x:c>
      <x:c r="E27" s="93" t="n">
        <x:v>1</x:v>
      </x:c>
      <x:c r="F27" s="94" t="n">
        <x:v>597</x:v>
      </x:c>
      <x:c r="G27" s="93" t="n">
        <x:v>0.5616304619231457</x:v>
      </x:c>
      <x:c r="H27" s="93" t="n">
        <x:v>82.81486184455949</x:v>
      </x:c>
      <x:c r="I27" s="95" t="n">
        <x:v>0.0013819139733552363</x:v>
      </x:c>
      <x:c r="J27" s="95" t="n">
        <x:v>1.880650562185205e-10</x:v>
      </x:c>
      <x:c r="K27" s="95" t="n">
        <x:v>7348063.490059173</x:v>
      </x:c>
      <x:c r="L27" s="95" t="n">
        <x:v>23206158339.630913</x:v>
      </x:c>
      <x:c r="M27" s="95" t="n">
        <x:v>6.475593600388364</x:v>
      </x:c>
      <x:c r="N27" s="95" t="n">
        <x:v>147432801693077.75</x:v>
      </x:c>
      <x:c r="O27" s="95" t="n">
        <x:v>7.444931311782422</x:v>
      </x:c>
      <x:c r="P27" s="93" t="n">
        <x:v>0.3704304540602605</x:v>
      </x:c>
      <x:c r="Q27" s="95" t="n">
        <x:v>13441182205067.484</x:v>
      </x:c>
      <x:c r="R27" s="95" t="n">
        <x:v>6.137813830362023</x:v>
      </x:c>
      <x:c r="S27" s="97" t="n">
        <x:v>1</x:v>
      </x:c>
      <x:c r="T27" s="93" t="n">
        <x:v>0.5561633333333362</x:v>
      </x:c>
      <x:c r="U27" s="98" t="n">
        <x:v>83.66371112456761</x:v>
      </x:c>
      <x:c r="V27" s="95" t="n">
        <x:v>0.0015799970958371651</x:v>
      </x:c>
      <x:c r="W27" s="95" t="n">
        <x:v>1.9423642125118827e-10</x:v>
      </x:c>
      <x:c r="X27" s="95" t="n">
        <x:v>8134401.8061056575</x:v>
      </x:c>
      <x:c r="Y27" s="99" t="n">
        <x:f>IFERROR(IF(ISBLANK(INDEX('Short_TCAD'!$K$2:$K$100,MATCH(B27,'Short_TCAD'!$A$2:$A$100,0))),"",INDEX('Short_TCAD'!$K$2:$K$100,MATCH(B27,'Short_TCAD'!$A$2:$A$100,0))),"")</x:f>
        <x:v>0.554</x:v>
      </x:c>
      <x:c r="Z27" s="100" t="n">
        <x:f>IFERROR(IF(ISBLANK(INDEX('Short_TCAD'!$L$2:$L$100,MATCH(B27,'Short_TCAD'!$A$2:$A$100,0))),"",INDEX('Short_TCAD'!$L$2:$L$100,MATCH(B27,'Short_TCAD'!$A$2:$A$100,0))),"")</x:f>
        <x:v>86.844</x:v>
      </x:c>
      <x:c r="AA27" s="96" t="n">
        <x:f>IFERROR(IF(ISBLANK(INDEX('Short_TCAD'!$M$2:$M$100,MATCH(B27,'Short_TCAD'!$A$2:$A$100,0))),"",INDEX('Short_TCAD'!$M$2:$M$100,MATCH(B27,'Short_TCAD'!$A$2:$A$100,0))),"")</x:f>
        <x:v>0.001792</x:v>
      </x:c>
      <x:c r="AB27" s="96" t="n">
        <x:f>IFERROR(IF(ISBLANK(INDEX('Short_TCAD'!$N$2:$N$100,MATCH(B27,'Short_TCAD'!$A$2:$A$100,0))),"",INDEX('Short_TCAD'!$N$2:$N$100,MATCH(B27,'Short_TCAD'!$A$2:$A$100,0))),"")</x:f>
        <x:v>3.505e-9</x:v>
      </x:c>
      <x:c r="AC27" s="95" t="n">
        <x:f>IF(OR(NOT(ISNUMBER(AA27)),NOT(ISNUMBER(AB27))),"",AA27/AB27)</x:f>
        <x:v>511269.6148359486</x:v>
      </x:c>
      <x:c r="AD27" s="93" t="n">
        <x:f>IF(NOT(ISNUMBER(Y27)),"",ABS(Y27-T27)*1000)</x:f>
        <x:v>2.1633333333361815</x:v>
      </x:c>
      <x:c r="AE27" s="93" t="n">
        <x:f>IF(NOT(ISNUMBER(Z27)),"",ABS(Z27-U27))</x:f>
        <x:v>3.1802888754323817</x:v>
      </x:c>
      <x:c r="AF27" s="93" t="n">
        <x:f>IF(NOT(ISNUMBER(AA27)),"",ABS(LOG10(AA27)-LOG10(V27)))</x:f>
        <x:v>0.054681716639440214</x:v>
      </x:c>
      <x:c r="AG27" s="93" t="n">
        <x:f>IF(NOT(ISNUMBER(AB27)),"",ABS(LOG10(AB27)-LOG10(W27)))</x:f>
        <x:v>1.2563573545816187</x:v>
      </x:c>
      <x:c r="AH27" s="93" t="n">
        <x:f>IF(NOT(ISNUMBER(AC27)),"",ABS(LOG10(AC27)-LOG10(X27)))</x:f>
        <x:v>1.2016756379421798</x:v>
      </x:c>
      <x:c r="AI27" s="85" t="str">
        <x:f>IF(OR(NOT(ISNUMBER(Y27)),NOT(ISNUMBER(Z27)),NOT(ISNUMBER(AA27)),NOT(ISNUMBER(AB27))),"",IF(AND(Y27&gt;=0.3,Y27&lt;=1.2,Z27&lt;=200,AA27&gt;=1E-4,AB27&lt;=1E-6),"PASS","FAIL"))</x:f>
        <x:v>PASS</x:v>
      </x:c>
      <x:c r="AJ27" s="85" t="str"/>
    </x:row>
    <x:row r="28">
      <x:c r="A28" s="85" t="str">
        <x:v>S065-27</x:v>
      </x:c>
      <x:c r="B28" s="85" t="str">
        <x:v>R027</x:v>
      </x:c>
      <x:c r="C28" s="93" t="n">
        <x:v>0.065</x:v>
      </x:c>
      <x:c r="D28" s="93" t="str">
        <x:v>Practical</x:v>
      </x:c>
      <x:c r="E28" s="93" t="n">
        <x:v>1</x:v>
      </x:c>
      <x:c r="F28" s="94" t="n">
        <x:v>8235</x:v>
      </x:c>
      <x:c r="G28" s="93" t="n">
        <x:v>0.5174079871180916</x:v>
      </x:c>
      <x:c r="H28" s="93" t="n">
        <x:v>87.07089106781743</x:v>
      </x:c>
      <x:c r="I28" s="95" t="n">
        <x:v>0.001167946756474832</x:v>
      </x:c>
      <x:c r="J28" s="95" t="n">
        <x:v>1.0332700014266966e-9</x:v>
      </x:c>
      <x:c r="K28" s="95" t="n">
        <x:v>1130340.3320160068</x:v>
      </x:c>
      <x:c r="L28" s="95" t="n">
        <x:v>14676424052.337532</x:v>
      </x:c>
      <x:c r="M28" s="95" t="n">
        <x:v>12.073410415480652</x:v>
      </x:c>
      <x:c r="N28" s="95" t="n">
        <x:v>42017422140267.92</x:v>
      </x:c>
      <x:c r="O28" s="95" t="n">
        <x:v>7.248129020264164</x:v>
      </x:c>
      <x:c r="P28" s="93" t="n">
        <x:v>0.46396450230621306</x:v>
      </x:c>
      <x:c r="Q28" s="95" t="n">
        <x:v>2710403261140.189</x:v>
      </x:c>
      <x:c r="R28" s="95" t="n">
        <x:v>7.018450144076298</x:v>
      </x:c>
      <x:c r="S28" s="97" t="n">
        <x:v>0.99</x:v>
      </x:c>
      <x:c r="T28" s="93" t="n">
        <x:v>0.5185600000000004</x:v>
      </x:c>
      <x:c r="U28" s="98" t="n">
        <x:v>85.8108216892094</x:v>
      </x:c>
      <x:c r="V28" s="95" t="n">
        <x:v>0.0012191800556970104</x:v>
      </x:c>
      <x:c r="W28" s="95" t="n">
        <x:v>1.0515894110097106e-9</x:v>
      </x:c>
      <x:c r="X28" s="95" t="n">
        <x:v>1159368.897150061</x:v>
      </x:c>
      <x:c r="Y28" s="99" t="n">
        <x:f>IFERROR(IF(ISBLANK(INDEX('Short_TCAD'!$K$2:$K$100,MATCH(B28,'Short_TCAD'!$A$2:$A$100,0))),"",INDEX('Short_TCAD'!$K$2:$K$100,MATCH(B28,'Short_TCAD'!$A$2:$A$100,0))),"")</x:f>
        <x:v>0.512</x:v>
      </x:c>
      <x:c r="Z28" s="100" t="n">
        <x:f>IFERROR(IF(ISBLANK(INDEX('Short_TCAD'!$L$2:$L$100,MATCH(B28,'Short_TCAD'!$A$2:$A$100,0))),"",INDEX('Short_TCAD'!$L$2:$L$100,MATCH(B28,'Short_TCAD'!$A$2:$A$100,0))),"")</x:f>
        <x:v>81.511</x:v>
      </x:c>
      <x:c r="AA28" s="96" t="n">
        <x:f>IFERROR(IF(ISBLANK(INDEX('Short_TCAD'!$M$2:$M$100,MATCH(B28,'Short_TCAD'!$A$2:$A$100,0))),"",INDEX('Short_TCAD'!$M$2:$M$100,MATCH(B28,'Short_TCAD'!$A$2:$A$100,0))),"")</x:f>
        <x:v>0.00116</x:v>
      </x:c>
      <x:c r="AB28" s="96" t="n">
        <x:f>IFERROR(IF(ISBLANK(INDEX('Short_TCAD'!$N$2:$N$100,MATCH(B28,'Short_TCAD'!$A$2:$A$100,0))),"",INDEX('Short_TCAD'!$N$2:$N$100,MATCH(B28,'Short_TCAD'!$A$2:$A$100,0))),"")</x:f>
        <x:v>3.05e-10</x:v>
      </x:c>
      <x:c r="AC28" s="95" t="n">
        <x:f>IF(OR(NOT(ISNUMBER(AA28)),NOT(ISNUMBER(AB28))),"",AA28/AB28)</x:f>
        <x:v>3803278.6885245903</x:v>
      </x:c>
      <x:c r="AD28" s="93" t="n">
        <x:f>IF(NOT(ISNUMBER(Y28)),"",ABS(Y28-T28)*1000)</x:f>
        <x:v>6.560000000000343</x:v>
      </x:c>
      <x:c r="AE28" s="93" t="n">
        <x:f>IF(NOT(ISNUMBER(Z28)),"",ABS(Z28-U28))</x:f>
        <x:v>4.299821689209409</x:v>
      </x:c>
      <x:c r="AF28" s="93" t="n">
        <x:f>IF(NOT(ISNUMBER(AA28)),"",ABS(LOG10(AA28)-LOG10(V28)))</x:f>
        <x:v>0.021609860297159944</x:v>
      </x:c>
      <x:c r="AG28" s="93" t="n">
        <x:f>IF(NOT(ISNUMBER(AB28)),"",ABS(LOG10(AB28)-LOG10(W28)))</x:f>
        <x:v>0.5375463649768406</x:v>
      </x:c>
      <x:c r="AH28" s="93" t="n">
        <x:f>IF(NOT(ISNUMBER(AC28)),"",ABS(LOG10(AC28)-LOG10(X28)))</x:f>
        <x:v>0.5159365046796793</x:v>
      </x:c>
      <x:c r="AI28" s="85" t="str">
        <x:f>IF(OR(NOT(ISNUMBER(Y28)),NOT(ISNUMBER(Z28)),NOT(ISNUMBER(AA28)),NOT(ISNUMBER(AB28))),"",IF(AND(Y28&gt;=0.3,Y28&lt;=1.2,Z28&lt;=200,AA28&gt;=1E-4,AB28&lt;=1E-6),"PASS","FAIL"))</x:f>
        <x:v>PASS</x:v>
      </x:c>
      <x:c r="AJ28" s="85" t="str"/>
    </x:row>
    <x:row r="29">
      <x:c r="A29" s="85" t="str">
        <x:v>S065-28</x:v>
      </x:c>
      <x:c r="B29" s="85" t="str">
        <x:v>R028</x:v>
      </x:c>
      <x:c r="C29" s="93" t="n">
        <x:v>0.065</x:v>
      </x:c>
      <x:c r="D29" s="93" t="str">
        <x:v>Practical</x:v>
      </x:c>
      <x:c r="E29" s="93" t="n">
        <x:v>1</x:v>
      </x:c>
      <x:c r="F29" s="94" t="n">
        <x:v>1213</x:v>
      </x:c>
      <x:c r="G29" s="93" t="n">
        <x:v>0.6742684982593695</x:v>
      </x:c>
      <x:c r="H29" s="93" t="n">
        <x:v>76.03303691196732</x:v>
      </x:c>
      <x:c r="I29" s="95" t="n">
        <x:v>0.0014624387024018356</x:v>
      </x:c>
      <x:c r="J29" s="95" t="n">
        <x:v>2.8275047900771357e-14</x:v>
      </x:c>
      <x:c r="K29" s="95" t="n">
        <x:v>51721882400.84077</x:v>
      </x:c>
      <x:c r="L29" s="95" t="n">
        <x:v>75254906447.91118</x:v>
      </x:c>
      <x:c r="M29" s="95" t="n">
        <x:v>7.070126042261408</x:v>
      </x:c>
      <x:c r="N29" s="95" t="n">
        <x:v>169824518055567.03</x:v>
      </x:c>
      <x:c r="O29" s="95" t="n">
        <x:v>8.300114778242207</x:v>
      </x:c>
      <x:c r="P29" s="93" t="n">
        <x:v>0.13073226672003588</x:v>
      </x:c>
      <x:c r="Q29" s="95" t="n">
        <x:v>48078102240878.484</x:v>
      </x:c>
      <x:c r="R29" s="95" t="n">
        <x:v>8.14912641358818</x:v>
      </x:c>
      <x:c r="S29" s="97" t="n">
        <x:v>0.9766666666666667</x:v>
      </x:c>
      <x:c r="T29" s="93" t="n">
        <x:v>0.6873700000000025</x:v>
      </x:c>
      <x:c r="U29" s="98" t="n">
        <x:v>78.48284744890368</x:v>
      </x:c>
      <x:c r="V29" s="95" t="n">
        <x:v>0.0015893391655094175</x:v>
      </x:c>
      <x:c r="W29" s="95" t="n">
        <x:v>2.7389573876794292e-14</x:v>
      </x:c>
      <x:c r="X29" s="95" t="n">
        <x:v>58027159263.546585</x:v>
      </x:c>
      <x:c r="Y29" s="99" t="n">
        <x:f>IFERROR(IF(ISBLANK(INDEX('Short_TCAD'!$K$2:$K$100,MATCH(B29,'Short_TCAD'!$A$2:$A$100,0))),"",INDEX('Short_TCAD'!$K$2:$K$100,MATCH(B29,'Short_TCAD'!$A$2:$A$100,0))),"")</x:f>
        <x:v>0.745</x:v>
      </x:c>
      <x:c r="Z29" s="100" t="n">
        <x:f>IFERROR(IF(ISBLANK(INDEX('Short_TCAD'!$L$2:$L$100,MATCH(B29,'Short_TCAD'!$A$2:$A$100,0))),"",INDEX('Short_TCAD'!$L$2:$L$100,MATCH(B29,'Short_TCAD'!$A$2:$A$100,0))),"")</x:f>
        <x:v>77.054</x:v>
      </x:c>
      <x:c r="AA29" s="96" t="n">
        <x:f>IFERROR(IF(ISBLANK(INDEX('Short_TCAD'!$M$2:$M$100,MATCH(B29,'Short_TCAD'!$A$2:$A$100,0))),"",INDEX('Short_TCAD'!$M$2:$M$100,MATCH(B29,'Short_TCAD'!$A$2:$A$100,0))),"")</x:f>
        <x:v>0.00124</x:v>
      </x:c>
      <x:c r="AB29" s="96" t="n">
        <x:f>IFERROR(IF(ISBLANK(INDEX('Short_TCAD'!$N$2:$N$100,MATCH(B29,'Short_TCAD'!$A$2:$A$100,0))),"",INDEX('Short_TCAD'!$N$2:$N$100,MATCH(B29,'Short_TCAD'!$A$2:$A$100,0))),"")</x:f>
        <x:v>4.2e-15</x:v>
      </x:c>
      <x:c r="AC29" s="95" t="n">
        <x:f>IF(OR(NOT(ISNUMBER(AA29)),NOT(ISNUMBER(AB29))),"",AA29/AB29)</x:f>
        <x:v>295238095238.0953</x:v>
      </x:c>
      <x:c r="AD29" s="93" t="n">
        <x:f>IF(NOT(ISNUMBER(Y29)),"",ABS(Y29-T29)*1000)</x:f>
        <x:v>57.629999999997516</x:v>
      </x:c>
      <x:c r="AE29" s="93" t="n">
        <x:f>IF(NOT(ISNUMBER(Z29)),"",ABS(Z29-U29))</x:f>
        <x:v>1.4288474489036815</x:v>
      </x:c>
      <x:c r="AF29" s="93" t="n">
        <x:f>IF(NOT(ISNUMBER(AA29)),"",ABS(LOG10(AA29)-LOG10(V29)))</x:f>
        <x:v>0.10779490052303986</x:v>
      </x:c>
      <x:c r="AG29" s="93" t="n">
        <x:f>IF(NOT(ISNUMBER(AB29)),"",ABS(LOG10(AB29)-LOG10(W29)))</x:f>
        <x:v>0.8143359852150986</x:v>
      </x:c>
      <x:c r="AH29" s="93" t="n">
        <x:f>IF(NOT(ISNUMBER(AC29)),"",ABS(LOG10(AC29)-LOG10(X29)))</x:f>
        <x:v>0.7065410846919988</x:v>
      </x:c>
      <x:c r="AI29" s="85" t="str">
        <x:f>IF(OR(NOT(ISNUMBER(Y29)),NOT(ISNUMBER(Z29)),NOT(ISNUMBER(AA29)),NOT(ISNUMBER(AB29))),"",IF(AND(Y29&gt;=0.3,Y29&lt;=1.2,Z29&lt;=200,AA29&gt;=1E-4,AB29&lt;=1E-6),"PASS","FAIL"))</x:f>
        <x:v>PASS</x:v>
      </x:c>
      <x:c r="AJ29" s="85" t="str"/>
    </x:row>
    <x:row r="30">
      <x:c r="A30" s="85" t="str">
        <x:v>S065-29</x:v>
      </x:c>
      <x:c r="B30" s="85" t="str">
        <x:v>R029</x:v>
      </x:c>
      <x:c r="C30" s="93" t="n">
        <x:v>0.065</x:v>
      </x:c>
      <x:c r="D30" s="93" t="str">
        <x:v>Practical</x:v>
      </x:c>
      <x:c r="E30" s="93" t="n">
        <x:v>1</x:v>
      </x:c>
      <x:c r="F30" s="94" t="n">
        <x:v>3402</x:v>
      </x:c>
      <x:c r="G30" s="93" t="n">
        <x:v>0.4705248115061266</x:v>
      </x:c>
      <x:c r="H30" s="93" t="n">
        <x:v>90.25827909392967</x:v>
      </x:c>
      <x:c r="I30" s="95" t="n">
        <x:v>0.0005278301154158402</x:v>
      </x:c>
      <x:c r="J30" s="95" t="n">
        <x:v>1.386722603010415e-10</x:v>
      </x:c>
      <x:c r="K30" s="95" t="n">
        <x:v>3806313.636699811</x:v>
      </x:c>
      <x:c r="L30" s="95" t="n">
        <x:v>60919713014.70119</x:v>
      </x:c>
      <x:c r="M30" s="95" t="n">
        <x:v>10.373735734532643</x:v>
      </x:c>
      <x:c r="N30" s="95" t="n">
        <x:v>18062178558463.72</x:v>
      </x:c>
      <x:c r="O30" s="95" t="n">
        <x:v>9.781781688778988</x:v>
      </x:c>
      <x:c r="P30" s="93" t="n">
        <x:v>0.13092654313094654</x:v>
      </x:c>
      <x:c r="Q30" s="95" t="n">
        <x:v>1074046905350.2833</x:v>
      </x:c>
      <x:c r="R30" s="95" t="n">
        <x:v>4.4369643202048135</x:v>
      </x:c>
      <x:c r="S30" s="97" t="n">
        <x:v>0.96</x:v>
      </x:c>
      <x:c r="T30" s="93" t="n">
        <x:v>0.48235000000000144</x:v>
      </x:c>
      <x:c r="U30" s="98" t="n">
        <x:v>88.73966757468934</x:v>
      </x:c>
      <x:c r="V30" s="95" t="n">
        <x:v>0.00044853390380494206</x:v>
      </x:c>
      <x:c r="W30" s="95" t="n">
        <x:v>1.4509837020384511e-10</x:v>
      </x:c>
      <x:c r="X30" s="95" t="n">
        <x:v>3091240.1233370705</x:v>
      </x:c>
      <x:c r="Y30" s="99" t="n">
        <x:f>IFERROR(IF(ISBLANK(INDEX('Short_TCAD'!$K$2:$K$100,MATCH(B30,'Short_TCAD'!$A$2:$A$100,0))),"",INDEX('Short_TCAD'!$K$2:$K$100,MATCH(B30,'Short_TCAD'!$A$2:$A$100,0))),"")</x:f>
        <x:v>0.477</x:v>
      </x:c>
      <x:c r="Z30" s="100" t="n">
        <x:f>IFERROR(IF(ISBLANK(INDEX('Short_TCAD'!$L$2:$L$100,MATCH(B30,'Short_TCAD'!$A$2:$A$100,0))),"",INDEX('Short_TCAD'!$L$2:$L$100,MATCH(B30,'Short_TCAD'!$A$2:$A$100,0))),"")</x:f>
        <x:v>93.638</x:v>
      </x:c>
      <x:c r="AA30" s="96" t="n">
        <x:f>IFERROR(IF(ISBLANK(INDEX('Short_TCAD'!$M$2:$M$100,MATCH(B30,'Short_TCAD'!$A$2:$A$100,0))),"",INDEX('Short_TCAD'!$M$2:$M$100,MATCH(B30,'Short_TCAD'!$A$2:$A$100,0))),"")</x:f>
        <x:v>0.000728</x:v>
      </x:c>
      <x:c r="AB30" s="96" t="n">
        <x:f>IFERROR(IF(ISBLANK(INDEX('Short_TCAD'!$N$2:$N$100,MATCH(B30,'Short_TCAD'!$A$2:$A$100,0))),"",INDEX('Short_TCAD'!$N$2:$N$100,MATCH(B30,'Short_TCAD'!$A$2:$A$100,0))),"")</x:f>
        <x:v>7.28e-9</x:v>
      </x:c>
      <x:c r="AC30" s="95" t="n">
        <x:f>IF(OR(NOT(ISNUMBER(AA30)),NOT(ISNUMBER(AB30))),"",AA30/AB30)</x:f>
        <x:v>100000.00000000001</x:v>
      </x:c>
      <x:c r="AD30" s="93" t="n">
        <x:f>IF(NOT(ISNUMBER(Y30)),"",ABS(Y30-T30)*1000)</x:f>
        <x:v>5.350000000001465</x:v>
      </x:c>
      <x:c r="AE30" s="93" t="n">
        <x:f>IF(NOT(ISNUMBER(Z30)),"",ABS(Z30-U30))</x:f>
        <x:v>4.89833242531067</x:v>
      </x:c>
      <x:c r="AF30" s="93" t="n">
        <x:f>IF(NOT(ISNUMBER(AA30)),"",ABS(LOG10(AA30)-LOG10(V30)))</x:f>
        <x:v>0.21033610321743001</x:v>
      </x:c>
      <x:c r="AG30" s="93" t="n">
        <x:f>IF(NOT(ISNUMBER(AB30)),"",ABS(LOG10(AB30)-LOG10(W30)))</x:f>
        <x:v>1.7004688449969603</x:v>
      </x:c>
      <x:c r="AH30" s="93" t="n">
        <x:f>IF(NOT(ISNUMBER(AC30)),"",ABS(LOG10(AC30)-LOG10(X30)))</x:f>
        <x:v>1.4901327417795196</x:v>
      </x:c>
      <x:c r="AI30" s="85" t="str">
        <x:f>IF(OR(NOT(ISNUMBER(Y30)),NOT(ISNUMBER(Z30)),NOT(ISNUMBER(AA30)),NOT(ISNUMBER(AB30))),"",IF(AND(Y30&gt;=0.3,Y30&lt;=1.2,Z30&lt;=200,AA30&gt;=1E-4,AB30&lt;=1E-6),"PASS","FAIL"))</x:f>
        <x:v>PASS</x:v>
      </x:c>
      <x:c r="AJ30" s="85" t="str"/>
    </x:row>
    <x:row r="31">
      <x:c r="A31" s="85" t="str">
        <x:v>S065-30</x:v>
      </x:c>
      <x:c r="B31" s="85" t="str">
        <x:v>R030</x:v>
      </x:c>
      <x:c r="C31" s="93" t="n">
        <x:v>0.065</x:v>
      </x:c>
      <x:c r="D31" s="93" t="str">
        <x:v>Practical</x:v>
      </x:c>
      <x:c r="E31" s="93" t="n">
        <x:v>1</x:v>
      </x:c>
      <x:c r="F31" s="94" t="n">
        <x:v>5474</x:v>
      </x:c>
      <x:c r="G31" s="93" t="n">
        <x:v>0.8131001831671893</x:v>
      </x:c>
      <x:c r="H31" s="93" t="n">
        <x:v>84.47002629150306</x:v>
      </x:c>
      <x:c r="I31" s="95" t="n">
        <x:v>0.0007899310171198512</x:v>
      </x:c>
      <x:c r="J31" s="95" t="n">
        <x:v>3.745616575282255e-15</x:v>
      </x:c>
      <x:c r="K31" s="95" t="n">
        <x:v>210894788946.81714</x:v>
      </x:c>
      <x:c r="L31" s="95" t="n">
        <x:v>18088388106.482254</x:v>
      </x:c>
      <x:c r="M31" s="95" t="n">
        <x:v>7.322212959371601</x:v>
      </x:c>
      <x:c r="N31" s="95" t="n">
        <x:v>149413477860922.28</x:v>
      </x:c>
      <x:c r="O31" s="95" t="n">
        <x:v>8.124988623367003</x:v>
      </x:c>
      <x:c r="P31" s="93" t="n">
        <x:v>0.49033247818745657</x:v>
      </x:c>
      <x:c r="Q31" s="95" t="n">
        <x:v>21803518001623.273</x:v>
      </x:c>
      <x:c r="R31" s="95" t="n">
        <x:v>6.51392895339818</x:v>
      </x:c>
      <x:c r="S31" s="97" t="n">
        <x:v>0.9933333333333333</x:v>
      </x:c>
      <x:c r="T31" s="93" t="n">
        <x:v>0.8372399999999993</x:v>
      </x:c>
      <x:c r="U31" s="98" t="n">
        <x:v>84.85076269184687</x:v>
      </x:c>
      <x:c r="V31" s="95" t="n">
        <x:v>0.0007730668115984858</x:v>
      </x:c>
      <x:c r="W31" s="95" t="n">
        <x:v>3.845679888225334e-15</x:v>
      </x:c>
      <x:c r="X31" s="95" t="n">
        <x:v>201022142785.58502</x:v>
      </x:c>
      <x:c r="Y31" s="99" t="n">
        <x:f>IFERROR(IF(ISBLANK(INDEX('Short_TCAD'!$K$2:$K$100,MATCH(B31,'Short_TCAD'!$A$2:$A$100,0))),"",INDEX('Short_TCAD'!$K$2:$K$100,MATCH(B31,'Short_TCAD'!$A$2:$A$100,0))),"")</x:f>
        <x:v>0.587</x:v>
      </x:c>
      <x:c r="Z31" s="100" t="n">
        <x:f>IFERROR(IF(ISBLANK(INDEX('Short_TCAD'!$L$2:$L$100,MATCH(B31,'Short_TCAD'!$A$2:$A$100,0))),"",INDEX('Short_TCAD'!$L$2:$L$100,MATCH(B31,'Short_TCAD'!$A$2:$A$100,0))),"")</x:f>
        <x:v>79.192</x:v>
      </x:c>
      <x:c r="AA31" s="96" t="n">
        <x:f>IFERROR(IF(ISBLANK(INDEX('Short_TCAD'!$M$2:$M$100,MATCH(B31,'Short_TCAD'!$A$2:$A$100,0))),"",INDEX('Short_TCAD'!$M$2:$M$100,MATCH(B31,'Short_TCAD'!$A$2:$A$100,0))),"")</x:f>
        <x:v>0.00168</x:v>
      </x:c>
      <x:c r="AB31" s="96" t="n">
        <x:f>IFERROR(IF(ISBLANK(INDEX('Short_TCAD'!$N$2:$N$100,MATCH(B31,'Short_TCAD'!$A$2:$A$100,0))),"",INDEX('Short_TCAD'!$N$2:$N$100,MATCH(B31,'Short_TCAD'!$A$2:$A$100,0))),"")</x:f>
        <x:v>8.572e-11</x:v>
      </x:c>
      <x:c r="AC31" s="95" t="n">
        <x:f>IF(OR(NOT(ISNUMBER(AA31)),NOT(ISNUMBER(AB31))),"",AA31/AB31)</x:f>
        <x:v>19598693.420438636</x:v>
      </x:c>
      <x:c r="AD31" s="93" t="n">
        <x:f>IF(NOT(ISNUMBER(Y31)),"",ABS(Y31-T31)*1000)</x:f>
        <x:v>250.23999999999936</x:v>
      </x:c>
      <x:c r="AE31" s="93" t="n">
        <x:f>IF(NOT(ISNUMBER(Z31)),"",ABS(Z31-U31))</x:f>
        <x:v>5.658762691846874</x:v>
      </x:c>
      <x:c r="AF31" s="93" t="n">
        <x:f>IF(NOT(ISNUMBER(AA31)),"",ABS(LOG10(AA31)-LOG10(V31)))</x:f>
        <x:v>0.3370922526785902</x:v>
      </x:c>
      <x:c r="AG31" s="93" t="n">
        <x:f>IF(NOT(ISNUMBER(AB31)),"",ABS(LOG10(AB31)-LOG10(W31)))</x:f>
        <x:v>4.3481090313397</x:v>
      </x:c>
      <x:c r="AH31" s="93" t="n">
        <x:f>IF(NOT(ISNUMBER(AC31)),"",ABS(LOG10(AC31)-LOG10(X31)))</x:f>
        <x:v>4.01101677866113</x:v>
      </x:c>
      <x:c r="AI31" s="85" t="str">
        <x:f>IF(OR(NOT(ISNUMBER(Y31)),NOT(ISNUMBER(Z31)),NOT(ISNUMBER(AA31)),NOT(ISNUMBER(AB31))),"",IF(AND(Y31&gt;=0.3,Y31&lt;=1.2,Z31&lt;=200,AA31&gt;=1E-4,AB31&lt;=1E-6),"PASS","FAIL"))</x:f>
        <x:v>PASS</x:v>
      </x:c>
      <x:c r="AJ31" s="85" t="str"/>
    </x:row>
    <x:row r="32">
      <x:c r="A32" s="85" t="str">
        <x:v>S065-31</x:v>
      </x:c>
      <x:c r="B32" s="85" t="str">
        <x:v>R031</x:v>
      </x:c>
      <x:c r="C32" s="93" t="n">
        <x:v>0.065</x:v>
      </x:c>
      <x:c r="D32" s="93" t="str">
        <x:v>Practical</x:v>
      </x:c>
      <x:c r="E32" s="93" t="n">
        <x:v>1</x:v>
      </x:c>
      <x:c r="F32" s="94" t="n">
        <x:v>6827</x:v>
      </x:c>
      <x:c r="G32" s="93" t="n">
        <x:v>0.5365388638402713</x:v>
      </x:c>
      <x:c r="H32" s="93" t="n">
        <x:v>79.33078059130482</x:v>
      </x:c>
      <x:c r="I32" s="95" t="n">
        <x:v>0.001300863270781277</x:v>
      </x:c>
      <x:c r="J32" s="95" t="n">
        <x:v>1.2319259060138426e-9</x:v>
      </x:c>
      <x:c r="K32" s="95" t="n">
        <x:v>1055959.0186641142</x:v>
      </x:c>
      <x:c r="L32" s="95" t="n">
        <x:v>16055675259.219961</x:v>
      </x:c>
      <x:c r="M32" s="95" t="n">
        <x:v>8.678737166997863</x:v>
      </x:c>
      <x:c r="N32" s="95" t="n">
        <x:v>99028110198177.81</x:v>
      </x:c>
      <x:c r="O32" s="95" t="n">
        <x:v>8.977900273197495</x:v>
      </x:c>
      <x:c r="P32" s="93" t="n">
        <x:v>0.10945460271560066</x:v>
      </x:c>
      <x:c r="Q32" s="95" t="n">
        <x:v>7321105800339.01</x:v>
      </x:c>
      <x:c r="R32" s="95" t="n">
        <x:v>8.471594932572819</x:v>
      </x:c>
      <x:c r="S32" s="97" t="n">
        <x:v>0.9966666666666667</x:v>
      </x:c>
      <x:c r="T32" s="93" t="n">
        <x:v>0.5359533333333345</x:v>
      </x:c>
      <x:c r="U32" s="98" t="n">
        <x:v>80.30149992537781</x:v>
      </x:c>
      <x:c r="V32" s="95" t="n">
        <x:v>0.0015111323282916273</x:v>
      </x:c>
      <x:c r="W32" s="95" t="n">
        <x:v>1.2845627503414298e-9</x:v>
      </x:c>
      <x:c r="X32" s="95" t="n">
        <x:v>1176378.7544749966</x:v>
      </x:c>
      <x:c r="Y32" s="99" t="n">
        <x:f>IFERROR(IF(ISBLANK(INDEX('Short_TCAD'!$K$2:$K$100,MATCH(B32,'Short_TCAD'!$A$2:$A$100,0))),"",INDEX('Short_TCAD'!$K$2:$K$100,MATCH(B32,'Short_TCAD'!$A$2:$A$100,0))),"")</x:f>
        <x:v>0.529</x:v>
      </x:c>
      <x:c r="Z32" s="100" t="n">
        <x:f>IFERROR(IF(ISBLANK(INDEX('Short_TCAD'!$L$2:$L$100,MATCH(B32,'Short_TCAD'!$A$2:$A$100,0))),"",INDEX('Short_TCAD'!$L$2:$L$100,MATCH(B32,'Short_TCAD'!$A$2:$A$100,0))),"")</x:f>
        <x:v>87.957</x:v>
      </x:c>
      <x:c r="AA32" s="96" t="n">
        <x:f>IFERROR(IF(ISBLANK(INDEX('Short_TCAD'!$M$2:$M$100,MATCH(B32,'Short_TCAD'!$A$2:$A$100,0))),"",INDEX('Short_TCAD'!$M$2:$M$100,MATCH(B32,'Short_TCAD'!$A$2:$A$100,0))),"")</x:f>
        <x:v>0.001567</x:v>
      </x:c>
      <x:c r="AB32" s="96" t="n">
        <x:f>IFERROR(IF(ISBLANK(INDEX('Short_TCAD'!$N$2:$N$100,MATCH(B32,'Short_TCAD'!$A$2:$A$100,0))),"",INDEX('Short_TCAD'!$N$2:$N$100,MATCH(B32,'Short_TCAD'!$A$2:$A$100,0))),"")</x:f>
        <x:v>4.917e-9</x:v>
      </x:c>
      <x:c r="AC32" s="95" t="n">
        <x:f>IF(OR(NOT(ISNUMBER(AA32)),NOT(ISNUMBER(AB32))),"",AA32/AB32)</x:f>
        <x:v>318690.2582875737</x:v>
      </x:c>
      <x:c r="AD32" s="93" t="n">
        <x:f>IF(NOT(ISNUMBER(Y32)),"",ABS(Y32-T32)*1000)</x:f>
        <x:v>6.953333333334477</x:v>
      </x:c>
      <x:c r="AE32" s="93" t="n">
        <x:f>IF(NOT(ISNUMBER(Z32)),"",ABS(Z32-U32))</x:f>
        <x:v>7.655500074622182</x:v>
      </x:c>
      <x:c r="AF32" s="93" t="n">
        <x:f>IF(NOT(ISNUMBER(AA32)),"",ABS(LOG10(AA32)-LOG10(V32)))</x:f>
        <x:v>0.015766499746699747</x:v>
      </x:c>
      <x:c r="AG32" s="93" t="n">
        <x:f>IF(NOT(ISNUMBER(AB32)),"",ABS(LOG10(AB32)-LOG10(W32)))</x:f>
        <x:v>0.5829448840697502</x:v>
      </x:c>
      <x:c r="AH32" s="93" t="n">
        <x:f>IF(NOT(ISNUMBER(AC32)),"",ABS(LOG10(AC32)-LOG10(X32)))</x:f>
        <x:v>0.56717838432305</x:v>
      </x:c>
      <x:c r="AI32" s="85" t="str">
        <x:f>IF(OR(NOT(ISNUMBER(Y32)),NOT(ISNUMBER(Z32)),NOT(ISNUMBER(AA32)),NOT(ISNUMBER(AB32))),"",IF(AND(Y32&gt;=0.3,Y32&lt;=1.2,Z32&lt;=200,AA32&gt;=1E-4,AB32&lt;=1E-6),"PASS","FAIL"))</x:f>
        <x:v>PASS</x:v>
      </x:c>
      <x:c r="AJ32" s="85" t="str"/>
    </x:row>
    <x:row r="33">
      <x:c r="A33" s="85" t="str">
        <x:v>S065-32</x:v>
      </x:c>
      <x:c r="B33" s="85" t="str">
        <x:v>R032</x:v>
      </x:c>
      <x:c r="C33" s="93" t="n">
        <x:v>0.065</x:v>
      </x:c>
      <x:c r="D33" s="93" t="str">
        <x:v>Practical</x:v>
      </x:c>
      <x:c r="E33" s="93" t="n">
        <x:v>1</x:v>
      </x:c>
      <x:c r="F33" s="94" t="n">
        <x:v>1631</x:v>
      </x:c>
      <x:c r="G33" s="93" t="n">
        <x:v>0.5817216482292926</x:v>
      </x:c>
      <x:c r="H33" s="93" t="n">
        <x:v>74.518</x:v>
      </x:c>
      <x:c r="I33" s="95" t="n">
        <x:v>0.00114743038482001</x:v>
      </x:c>
      <x:c r="J33" s="95" t="n">
        <x:v>1.7656887262675067e-12</x:v>
      </x:c>
      <x:c r="K33" s="95" t="n">
        <x:v>649848621.5322707</x:v>
      </x:c>
      <x:c r="L33" s="95" t="n">
        <x:v>11586302669.049086</x:v>
      </x:c>
      <x:c r="M33" s="95" t="n">
        <x:v>6.994939697261052</x:v>
      </x:c>
      <x:c r="N33" s="95" t="n">
        <x:v>142383607951955.03</x:v>
      </x:c>
      <x:c r="O33" s="95" t="n">
        <x:v>7.163595259670767</x:v>
      </x:c>
      <x:c r="P33" s="93" t="n">
        <x:v>0.11377688110483493</x:v>
      </x:c>
      <x:c r="Q33" s="95" t="n">
        <x:v>16888214267256.754</x:v>
      </x:c>
      <x:c r="R33" s="95" t="n">
        <x:v>8.682465786323394</x:v>
      </x:c>
      <x:c r="S33" s="97" t="n">
        <x:v>1</x:v>
      </x:c>
      <x:c r="T33" s="93" t="n">
        <x:v>0.5921100000000016</x:v>
      </x:c>
      <x:c r="U33" s="98" t="n">
        <x:v>75.29298256616987</x:v>
      </x:c>
      <x:c r="V33" s="95" t="n">
        <x:v>0.0014621659856582417</x:v>
      </x:c>
      <x:c r="W33" s="95" t="n">
        <x:v>1.8031532653200697e-12</x:v>
      </x:c>
      <x:c r="X33" s="95" t="n">
        <x:v>810893901.1341885</x:v>
      </x:c>
      <x:c r="Y33" s="99" t="n">
        <x:f>IFERROR(IF(ISBLANK(INDEX('Short_TCAD'!$K$2:$K$100,MATCH(B33,'Short_TCAD'!$A$2:$A$100,0))),"",INDEX('Short_TCAD'!$K$2:$K$100,MATCH(B33,'Short_TCAD'!$A$2:$A$100,0))),"")</x:f>
        <x:v>0.626</x:v>
      </x:c>
      <x:c r="Z33" s="100" t="n">
        <x:f>IFERROR(IF(ISBLANK(INDEX('Short_TCAD'!$L$2:$L$100,MATCH(B33,'Short_TCAD'!$A$2:$A$100,0))),"",INDEX('Short_TCAD'!$L$2:$L$100,MATCH(B33,'Short_TCAD'!$A$2:$A$100,0))),"")</x:f>
        <x:v>75.172</x:v>
      </x:c>
      <x:c r="AA33" s="96" t="n">
        <x:f>IFERROR(IF(ISBLANK(INDEX('Short_TCAD'!$M$2:$M$100,MATCH(B33,'Short_TCAD'!$A$2:$A$100,0))),"",INDEX('Short_TCAD'!$M$2:$M$100,MATCH(B33,'Short_TCAD'!$A$2:$A$100,0))),"")</x:f>
        <x:v>0.001584</x:v>
      </x:c>
      <x:c r="AB33" s="96" t="n">
        <x:f>IFERROR(IF(ISBLANK(INDEX('Short_TCAD'!$N$2:$N$100,MATCH(B33,'Short_TCAD'!$A$2:$A$100,0))),"",INDEX('Short_TCAD'!$N$2:$N$100,MATCH(B33,'Short_TCAD'!$A$2:$A$100,0))),"")</x:f>
        <x:v>3.816e-13</x:v>
      </x:c>
      <x:c r="AC33" s="95" t="n">
        <x:f>IF(OR(NOT(ISNUMBER(AA33)),NOT(ISNUMBER(AB33))),"",AA33/AB33)</x:f>
        <x:v>4150943396.2264147</x:v>
      </x:c>
      <x:c r="AD33" s="93" t="n">
        <x:f>IF(NOT(ISNUMBER(Y33)),"",ABS(Y33-T33)*1000)</x:f>
        <x:v>33.88999999999842</x:v>
      </x:c>
      <x:c r="AE33" s="93" t="n">
        <x:f>IF(NOT(ISNUMBER(Z33)),"",ABS(Z33-U33))</x:f>
        <x:v>0.12098256616987157</x:v>
      </x:c>
      <x:c r="AF33" s="93" t="n">
        <x:f>IF(NOT(ISNUMBER(AA33)),"",ABS(LOG10(AA33)-LOG10(V33)))</x:f>
        <x:v>0.034758500552529714</x:v>
      </x:c>
      <x:c r="AG33" s="93" t="n">
        <x:f>IF(NOT(ISNUMBER(AB33)),"",ABS(LOG10(AB33)-LOG10(W33)))</x:f>
        <x:v>0.674424276638101</x:v>
      </x:c>
      <x:c r="AH33" s="93" t="n">
        <x:f>IF(NOT(ISNUMBER(AC33)),"",ABS(LOG10(AC33)-LOG10(X33)))</x:f>
        <x:v>0.7091827771906498</x:v>
      </x:c>
      <x:c r="AI33" s="85" t="str">
        <x:f>IF(OR(NOT(ISNUMBER(Y33)),NOT(ISNUMBER(Z33)),NOT(ISNUMBER(AA33)),NOT(ISNUMBER(AB33))),"",IF(AND(Y33&gt;=0.3,Y33&lt;=1.2,Z33&lt;=200,AA33&gt;=1E-4,AB33&lt;=1E-6),"PASS","FAIL"))</x:f>
        <x:v>PASS</x:v>
      </x:c>
      <x:c r="AJ33" s="85" t="str"/>
    </x:row>
    <x:row r="34">
      <x:c r="A34" s="85" t="str">
        <x:v>S065-33</x:v>
      </x:c>
      <x:c r="B34" s="85" t="str">
        <x:v>R033</x:v>
      </x:c>
      <x:c r="C34" s="93" t="n">
        <x:v>0.065</x:v>
      </x:c>
      <x:c r="D34" s="93" t="str">
        <x:v>Practical</x:v>
      </x:c>
      <x:c r="E34" s="93" t="n">
        <x:v>1</x:v>
      </x:c>
      <x:c r="F34" s="94" t="n">
        <x:v>11728</x:v>
      </x:c>
      <x:c r="G34" s="93" t="n">
        <x:v>0.5349558447311162</x:v>
      </x:c>
      <x:c r="H34" s="93" t="n">
        <x:v>94.68177994387453</x:v>
      </x:c>
      <x:c r="I34" s="95" t="n">
        <x:v>0.0013281538063736479</x:v>
      </x:c>
      <x:c r="J34" s="95" t="n">
        <x:v>1.2811797693494055e-8</x:v>
      </x:c>
      <x:c r="K34" s="95" t="n">
        <x:v>103666.46727867832</x:v>
      </x:c>
      <x:c r="L34" s="95" t="n">
        <x:v>71800793169.9439</x:v>
      </x:c>
      <x:c r="M34" s="95" t="n">
        <x:v>5.118738030929634</x:v>
      </x:c>
      <x:c r="N34" s="95" t="n">
        <x:v>137023917485174.19</x:v>
      </x:c>
      <x:c r="O34" s="95" t="n">
        <x:v>7.1854835491490014</x:v>
      </x:c>
      <x:c r="P34" s="93" t="n">
        <x:v>0.22034023033654374</x:v>
      </x:c>
      <x:c r="Q34" s="95" t="n">
        <x:v>14782264149313.297</x:v>
      </x:c>
      <x:c r="R34" s="95" t="n">
        <x:v>3.0228058029870732</x:v>
      </x:c>
      <x:c r="S34" s="97" t="n">
        <x:v>0.9833333333333333</x:v>
      </x:c>
      <x:c r="T34" s="93" t="n">
        <x:v>0.5422866666666671</x:v>
      </x:c>
      <x:c r="U34" s="98" t="n">
        <x:v>95.84767020745875</x:v>
      </x:c>
      <x:c r="V34" s="95" t="n">
        <x:v>0.0014207526702514858</x:v>
      </x:c>
      <x:c r="W34" s="95" t="n">
        <x:v>1.3350214902794088e-8</x:v>
      </x:c>
      <x:c r="X34" s="95" t="n">
        <x:v>106421.70785985881</x:v>
      </x:c>
      <x:c r="Y34" s="99" t="n">
        <x:f>IFERROR(IF(ISBLANK(INDEX('Short_TCAD'!$K$2:$K$100,MATCH(B34,'Short_TCAD'!$A$2:$A$100,0))),"",INDEX('Short_TCAD'!$K$2:$K$100,MATCH(B34,'Short_TCAD'!$A$2:$A$100,0))),"")</x:f>
        <x:v>0.558</x:v>
      </x:c>
      <x:c r="Z34" s="100" t="n">
        <x:f>IFERROR(IF(ISBLANK(INDEX('Short_TCAD'!$L$2:$L$100,MATCH(B34,'Short_TCAD'!$A$2:$A$100,0))),"",INDEX('Short_TCAD'!$L$2:$L$100,MATCH(B34,'Short_TCAD'!$A$2:$A$100,0))),"")</x:f>
        <x:v>104.27</x:v>
      </x:c>
      <x:c r="AA34" s="96" t="n">
        <x:f>IFERROR(IF(ISBLANK(INDEX('Short_TCAD'!$M$2:$M$100,MATCH(B34,'Short_TCAD'!$A$2:$A$100,0))),"",INDEX('Short_TCAD'!$M$2:$M$100,MATCH(B34,'Short_TCAD'!$A$2:$A$100,0))),"")</x:f>
        <x:v>0.00153</x:v>
      </x:c>
      <x:c r="AB34" s="96" t="n">
        <x:f>IFERROR(IF(ISBLANK(INDEX('Short_TCAD'!$N$2:$N$100,MATCH(B34,'Short_TCAD'!$A$2:$A$100,0))),"",INDEX('Short_TCAD'!$N$2:$N$100,MATCH(B34,'Short_TCAD'!$A$2:$A$100,0))),"")</x:f>
        <x:v>4.677e-8</x:v>
      </x:c>
      <x:c r="AC34" s="95" t="n">
        <x:f>IF(OR(NOT(ISNUMBER(AA34)),NOT(ISNUMBER(AB34))),"",AA34/AB34)</x:f>
        <x:v>32713.277742142396</x:v>
      </x:c>
      <x:c r="AD34" s="93" t="n">
        <x:f>IF(NOT(ISNUMBER(Y34)),"",ABS(Y34-T34)*1000)</x:f>
        <x:v>15.713333333332912</x:v>
      </x:c>
      <x:c r="AE34" s="93" t="n">
        <x:f>IF(NOT(ISNUMBER(Z34)),"",ABS(Z34-U34))</x:f>
        <x:v>8.422329792541248</x:v>
      </x:c>
      <x:c r="AF34" s="93" t="n">
        <x:f>IF(NOT(ISNUMBER(AA34)),"",ABS(LOG10(AA34)-LOG10(V34)))</x:f>
        <x:v>0.032172949859840205</x:v>
      </x:c>
      <x:c r="AG34" s="93" t="n">
        <x:f>IF(NOT(ISNUMBER(AB34)),"",ABS(LOG10(AB34)-LOG10(W34)))</x:f>
        <x:v>0.5444791131707296</x:v>
      </x:c>
      <x:c r="AH34" s="93" t="n">
        <x:f>IF(NOT(ISNUMBER(AC34)),"",ABS(LOG10(AC34)-LOG10(X34)))</x:f>
        <x:v>0.5123061633108899</x:v>
      </x:c>
      <x:c r="AI34" s="85" t="str">
        <x:f>IF(OR(NOT(ISNUMBER(Y34)),NOT(ISNUMBER(Z34)),NOT(ISNUMBER(AA34)),NOT(ISNUMBER(AB34))),"",IF(AND(Y34&gt;=0.3,Y34&lt;=1.2,Z34&lt;=200,AA34&gt;=1E-4,AB34&lt;=1E-6),"PASS","FAIL"))</x:f>
        <x:v>PASS</x:v>
      </x:c>
      <x:c r="AJ34" s="85" t="str"/>
    </x:row>
    <x:row r="35">
      <x:c r="A35" s="85" t="str">
        <x:v>S065-34</x:v>
      </x:c>
      <x:c r="B35" s="85" t="str">
        <x:v>R034</x:v>
      </x:c>
      <x:c r="C35" s="93" t="n">
        <x:v>0.065</x:v>
      </x:c>
      <x:c r="D35" s="93" t="str">
        <x:v>Practical</x:v>
      </x:c>
      <x:c r="E35" s="93" t="n">
        <x:v>1</x:v>
      </x:c>
      <x:c r="F35" s="94" t="n">
        <x:v>1290</x:v>
      </x:c>
      <x:c r="G35" s="93" t="n">
        <x:v>0.43764087124944195</x:v>
      </x:c>
      <x:c r="H35" s="93" t="n">
        <x:v>96.76038847574758</x:v>
      </x:c>
      <x:c r="I35" s="95" t="n">
        <x:v>0.00033020990719009364</x:v>
      </x:c>
      <x:c r="J35" s="95" t="n">
        <x:v>4.2216612883922895e-9</x:v>
      </x:c>
      <x:c r="K35" s="95" t="n">
        <x:v>78218.00107413296</x:v>
      </x:c>
      <x:c r="L35" s="95" t="n">
        <x:v>71613830775.52669</x:v>
      </x:c>
      <x:c r="M35" s="95" t="n">
        <x:v>14.259570467656724</x:v>
      </x:c>
      <x:c r="N35" s="95" t="n">
        <x:v>13035055873723.354</x:v>
      </x:c>
      <x:c r="O35" s="95" t="n">
        <x:v>14.86902662426084</x:v>
      </x:c>
      <x:c r="P35" s="93" t="n">
        <x:v>0.4523066061376661</x:v>
      </x:c>
      <x:c r="Q35" s="95" t="n">
        <x:v>1113966582664.4114</x:v>
      </x:c>
      <x:c r="R35" s="95" t="n">
        <x:v>8.744487043005517</x:v>
      </x:c>
      <x:c r="S35" s="97" t="n">
        <x:v>0.9633333333333334</x:v>
      </x:c>
      <x:c r="T35" s="93" t="n">
        <x:v>0.45900666666666895</x:v>
      </x:c>
      <x:c r="U35" s="98" t="n">
        <x:v>91.50218175716145</x:v>
      </x:c>
      <x:c r="V35" s="95" t="n">
        <x:v>0.00037451360235520585</x:v>
      </x:c>
      <x:c r="W35" s="95" t="n">
        <x:v>4.104891890496103e-9</x:v>
      </x:c>
      <x:c r="X35" s="95" t="n">
        <x:v>91235.92346543953</x:v>
      </x:c>
      <x:c r="Y35" s="99" t="n">
        <x:f>IFERROR(IF(ISBLANK(INDEX('Short_TCAD'!$K$2:$K$100,MATCH(B35,'Short_TCAD'!$A$2:$A$100,0))),"",INDEX('Short_TCAD'!$K$2:$K$100,MATCH(B35,'Short_TCAD'!$A$2:$A$100,0))),"")</x:f>
        <x:v>0.45</x:v>
      </x:c>
      <x:c r="Z35" s="100" t="n">
        <x:f>IFERROR(IF(ISBLANK(INDEX('Short_TCAD'!$L$2:$L$100,MATCH(B35,'Short_TCAD'!$A$2:$A$100,0))),"",INDEX('Short_TCAD'!$L$2:$L$100,MATCH(B35,'Short_TCAD'!$A$2:$A$100,0))),"")</x:f>
        <x:v>103.614</x:v>
      </x:c>
      <x:c r="AA35" s="96" t="n">
        <x:f>IFERROR(IF(ISBLANK(INDEX('Short_TCAD'!$M$2:$M$100,MATCH(B35,'Short_TCAD'!$A$2:$A$100,0))),"",INDEX('Short_TCAD'!$M$2:$M$100,MATCH(B35,'Short_TCAD'!$A$2:$A$100,0))),"")</x:f>
        <x:v>0.0004945</x:v>
      </x:c>
      <x:c r="AB35" s="96" t="n">
        <x:f>IFERROR(IF(ISBLANK(INDEX('Short_TCAD'!$N$2:$N$100,MATCH(B35,'Short_TCAD'!$A$2:$A$100,0))),"",INDEX('Short_TCAD'!$N$2:$N$100,MATCH(B35,'Short_TCAD'!$A$2:$A$100,0))),"")</x:f>
        <x:v>3.952e-8</x:v>
      </x:c>
      <x:c r="AC35" s="95" t="n">
        <x:f>IF(OR(NOT(ISNUMBER(AA35)),NOT(ISNUMBER(AB35))),"",AA35/AB35)</x:f>
        <x:v>12512.65182186235</x:v>
      </x:c>
      <x:c r="AD35" s="93" t="n">
        <x:f>IF(NOT(ISNUMBER(Y35)),"",ABS(Y35-T35)*1000)</x:f>
        <x:v>9.006666666668938</x:v>
      </x:c>
      <x:c r="AE35" s="93" t="n">
        <x:f>IF(NOT(ISNUMBER(Z35)),"",ABS(Z35-U35))</x:f>
        <x:v>12.111818242838552</x:v>
      </x:c>
      <x:c r="AF35" s="93" t="n">
        <x:f>IF(NOT(ISNUMBER(AA35)),"",ABS(LOG10(AA35)-LOG10(V35)))</x:f>
        <x:v>0.12069870001112992</x:v>
      </x:c>
      <x:c r="AG35" s="93" t="n">
        <x:f>IF(NOT(ISNUMBER(AB35)),"",ABS(LOG10(AB35)-LOG10(W35)))</x:f>
        <x:v>0.9835152122138995</x:v>
      </x:c>
      <x:c r="AH35" s="93" t="n">
        <x:f>IF(NOT(ISNUMBER(AC35)),"",ABS(LOG10(AC35)-LOG10(X35)))</x:f>
        <x:v>0.8628165122027802</x:v>
      </x:c>
      <x:c r="AI35" s="85" t="str">
        <x:f>IF(OR(NOT(ISNUMBER(Y35)),NOT(ISNUMBER(Z35)),NOT(ISNUMBER(AA35)),NOT(ISNUMBER(AB35))),"",IF(AND(Y35&gt;=0.3,Y35&lt;=1.2,Z35&lt;=200,AA35&gt;=1E-4,AB35&lt;=1E-6),"PASS","FAIL"))</x:f>
        <x:v>PASS</x:v>
      </x:c>
      <x:c r="AJ35" s="85" t="str"/>
    </x:row>
    <x:row r="36">
      <x:c r="A36" s="85" t="str">
        <x:v>S065-35</x:v>
      </x:c>
      <x:c r="B36" s="85" t="str">
        <x:v>R035</x:v>
      </x:c>
      <x:c r="C36" s="93" t="n">
        <x:v>0.065</x:v>
      </x:c>
      <x:c r="D36" s="93" t="str">
        <x:v>Practical</x:v>
      </x:c>
      <x:c r="E36" s="93" t="n">
        <x:v>1</x:v>
      </x:c>
      <x:c r="F36" s="94" t="n">
        <x:v>1068</x:v>
      </x:c>
      <x:c r="G36" s="93" t="n">
        <x:v>0.43190312713394163</x:v>
      </x:c>
      <x:c r="H36" s="93" t="n">
        <x:v>95.5319806979005</x:v>
      </x:c>
      <x:c r="I36" s="95" t="n">
        <x:v>0.00023946729652879521</x:v>
      </x:c>
      <x:c r="J36" s="95" t="n">
        <x:v>1.1827759908962081e-8</x:v>
      </x:c>
      <x:c r="K36" s="95" t="n">
        <x:v>20246.208781034442</x:v>
      </x:c>
      <x:c r="L36" s="95" t="n">
        <x:v>46369701283.756294</x:v>
      </x:c>
      <x:c r="M36" s="95" t="n">
        <x:v>10.2980664149127</x:v>
      </x:c>
      <x:c r="N36" s="95" t="n">
        <x:v>19370808655041.793</x:v>
      </x:c>
      <x:c r="O36" s="95" t="n">
        <x:v>14.580290591457965</x:v>
      </x:c>
      <x:c r="P36" s="93" t="n">
        <x:v>0.1374835972764914</x:v>
      </x:c>
      <x:c r="Q36" s="95" t="n">
        <x:v>1693719232909.4368</x:v>
      </x:c>
      <x:c r="R36" s="95" t="n">
        <x:v>3.3164653321556705</x:v>
      </x:c>
      <x:c r="S36" s="97" t="n">
        <x:v>0.98</x:v>
      </x:c>
      <x:c r="T36" s="93" t="n">
        <x:v>0.4443633333333301</x:v>
      </x:c>
      <x:c r="U36" s="98" t="n">
        <x:v>98.66852362517695</x:v>
      </x:c>
      <x:c r="V36" s="95" t="n">
        <x:v>0.0002692311312047172</x:v>
      </x:c>
      <x:c r="W36" s="95" t="n">
        <x:v>1.1582411648100595e-8</x:v>
      </x:c>
      <x:c r="X36" s="95" t="n">
        <x:v>23244.82494531858</x:v>
      </x:c>
      <x:c r="Y36" s="99" t="n">
        <x:f>IFERROR(IF(ISBLANK(INDEX('Short_TCAD'!$K$2:$K$100,MATCH(B36,'Short_TCAD'!$A$2:$A$100,0))),"",INDEX('Short_TCAD'!$K$2:$K$100,MATCH(B36,'Short_TCAD'!$A$2:$A$100,0))),"")</x:f>
        <x:v>0.435</x:v>
      </x:c>
      <x:c r="Z36" s="100" t="n">
        <x:f>IFERROR(IF(ISBLANK(INDEX('Short_TCAD'!$L$2:$L$100,MATCH(B36,'Short_TCAD'!$A$2:$A$100,0))),"",INDEX('Short_TCAD'!$L$2:$L$100,MATCH(B36,'Short_TCAD'!$A$2:$A$100,0))),"")</x:f>
        <x:v>139.607</x:v>
      </x:c>
      <x:c r="AA36" s="96" t="n">
        <x:f>IFERROR(IF(ISBLANK(INDEX('Short_TCAD'!$M$2:$M$100,MATCH(B36,'Short_TCAD'!$A$2:$A$100,0))),"",INDEX('Short_TCAD'!$M$2:$M$100,MATCH(B36,'Short_TCAD'!$A$2:$A$100,0))),"")</x:f>
        <x:v>0.0005978</x:v>
      </x:c>
      <x:c r="AB36" s="96" t="n">
        <x:f>IFERROR(IF(ISBLANK(INDEX('Short_TCAD'!$N$2:$N$100,MATCH(B36,'Short_TCAD'!$A$2:$A$100,0))),"",INDEX('Short_TCAD'!$N$2:$N$100,MATCH(B36,'Short_TCAD'!$A$2:$A$100,0))),"")</x:f>
        <x:v>0.000001198</x:v>
      </x:c>
      <x:c r="AC36" s="95" t="n">
        <x:f>IF(OR(NOT(ISNUMBER(AA36)),NOT(ISNUMBER(AB36))),"",AA36/AB36)</x:f>
        <x:v>498.9983305509182</x:v>
      </x:c>
      <x:c r="AD36" s="93" t="n">
        <x:f>IF(NOT(ISNUMBER(Y36)),"",ABS(Y36-T36)*1000)</x:f>
        <x:v>9.363333333330115</x:v>
      </x:c>
      <x:c r="AE36" s="93" t="n">
        <x:f>IF(NOT(ISNUMBER(Z36)),"",ABS(Z36-U36))</x:f>
        <x:v>40.938476374823054</x:v>
      </x:c>
      <x:c r="AF36" s="93" t="n">
        <x:f>IF(NOT(ISNUMBER(AA36)),"",ABS(LOG10(AA36)-LOG10(V36)))</x:f>
        <x:v>0.3464306347622901</x:v>
      </x:c>
      <x:c r="AG36" s="93" t="n">
        <x:f>IF(NOT(ISNUMBER(AB36)),"",ABS(LOG10(AB36)-LOG10(W36)))</x:f>
        <x:v>2.0146578220111397</x:v>
      </x:c>
      <x:c r="AH36" s="93" t="n">
        <x:f>IF(NOT(ISNUMBER(AC36)),"",ABS(LOG10(AC36)-LOG10(X36)))</x:f>
        <x:v>1.6682271872488497</x:v>
      </x:c>
      <x:c r="AI36" s="85" t="str">
        <x:f>IF(OR(NOT(ISNUMBER(Y36)),NOT(ISNUMBER(Z36)),NOT(ISNUMBER(AA36)),NOT(ISNUMBER(AB36))),"",IF(AND(Y36&gt;=0.3,Y36&lt;=1.2,Z36&lt;=200,AA36&gt;=1E-4,AB36&lt;=1E-6),"PASS","FAIL"))</x:f>
        <x:v>FAIL</x:v>
      </x:c>
      <x:c r="AJ36" s="85" t="str">
        <x:v>Practical fail: Ioff</x:v>
      </x:c>
    </x:row>
    <x:row r="37">
      <x:c r="A37" s="85" t="str">
        <x:v>S065-36</x:v>
      </x:c>
      <x:c r="B37" s="85" t="str">
        <x:v>R036</x:v>
      </x:c>
      <x:c r="C37" s="93" t="n">
        <x:v>0.065</x:v>
      </x:c>
      <x:c r="D37" s="93" t="str">
        <x:v>Practical</x:v>
      </x:c>
      <x:c r="E37" s="93" t="n">
        <x:v>1</x:v>
      </x:c>
      <x:c r="F37" s="94" t="n">
        <x:v>4938</x:v>
      </x:c>
      <x:c r="G37" s="93" t="n">
        <x:v>0.78330786168445</x:v>
      </x:c>
      <x:c r="H37" s="93" t="n">
        <x:v>82.17610497804361</x:v>
      </x:c>
      <x:c r="I37" s="95" t="n">
        <x:v>0.0007651951702699486</x:v>
      </x:c>
      <x:c r="J37" s="95" t="n">
        <x:v>2.3957676035954828e-15</x:v>
      </x:c>
      <x:c r="K37" s="95" t="n">
        <x:v>319394572796.44775</x:v>
      </x:c>
      <x:c r="L37" s="95" t="n">
        <x:v>21968276053.924377</x:v>
      </x:c>
      <x:c r="M37" s="95" t="n">
        <x:v>9.17137888565341</x:v>
      </x:c>
      <x:c r="N37" s="95" t="n">
        <x:v>113874531217727.86</x:v>
      </x:c>
      <x:c r="O37" s="95" t="n">
        <x:v>8.24012363071493</x:v>
      </x:c>
      <x:c r="P37" s="93" t="n">
        <x:v>0.15625565569515232</x:v>
      </x:c>
      <x:c r="Q37" s="95" t="n">
        <x:v>38753791509088.336</x:v>
      </x:c>
      <x:c r="R37" s="95" t="n">
        <x:v>8.713664310304702</x:v>
      </x:c>
      <x:c r="S37" s="97" t="n">
        <x:v>0.9466666666666667</x:v>
      </x:c>
      <x:c r="T37" s="93" t="n">
        <x:v>0.7511299999999997</x:v>
      </x:c>
      <x:c r="U37" s="98" t="n">
        <x:v>81.31576172886314</x:v>
      </x:c>
      <x:c r="V37" s="95" t="n">
        <x:v>0.0007374787925963743</x:v>
      </x:c>
      <x:c r="W37" s="95" t="n">
        <x:v>2.5647612845737852e-15</x:v>
      </x:c>
      <x:c r="X37" s="95" t="n">
        <x:v>287542859069.21326</x:v>
      </x:c>
      <x:c r="Y37" s="99" t="n">
        <x:f>IFERROR(IF(ISBLANK(INDEX('Short_TCAD'!$K$2:$K$100,MATCH(B37,'Short_TCAD'!$A$2:$A$100,0))),"",INDEX('Short_TCAD'!$K$2:$K$100,MATCH(B37,'Short_TCAD'!$A$2:$A$100,0))),"")</x:f>
        <x:v>0.725</x:v>
      </x:c>
      <x:c r="Z37" s="100" t="n">
        <x:f>IFERROR(IF(ISBLANK(INDEX('Short_TCAD'!$L$2:$L$100,MATCH(B37,'Short_TCAD'!$A$2:$A$100,0))),"",INDEX('Short_TCAD'!$L$2:$L$100,MATCH(B37,'Short_TCAD'!$A$2:$A$100,0))),"")</x:f>
        <x:v>76.078</x:v>
      </x:c>
      <x:c r="AA37" s="96" t="n">
        <x:f>IFERROR(IF(ISBLANK(INDEX('Short_TCAD'!$M$2:$M$100,MATCH(B37,'Short_TCAD'!$A$2:$A$100,0))),"",INDEX('Short_TCAD'!$M$2:$M$100,MATCH(B37,'Short_TCAD'!$A$2:$A$100,0))),"")</x:f>
        <x:v>0.001098</x:v>
      </x:c>
      <x:c r="AB37" s="96" t="n">
        <x:f>IFERROR(IF(ISBLANK(INDEX('Short_TCAD'!$N$2:$N$100,MATCH(B37,'Short_TCAD'!$A$2:$A$100,0))),"",INDEX('Short_TCAD'!$N$2:$N$100,MATCH(B37,'Short_TCAD'!$A$2:$A$100,0))),"")</x:f>
        <x:v>4.511e-15</x:v>
      </x:c>
      <x:c r="AC37" s="95" t="n">
        <x:f>IF(OR(NOT(ISNUMBER(AA37)),NOT(ISNUMBER(AB37))),"",AA37/AB37)</x:f>
        <x:v>243405009975.61517</x:v>
      </x:c>
      <x:c r="AD37" s="93" t="n">
        <x:f>IF(NOT(ISNUMBER(Y37)),"",ABS(Y37-T37)*1000)</x:f>
        <x:v>26.129999999999765</x:v>
      </x:c>
      <x:c r="AE37" s="93" t="n">
        <x:f>IF(NOT(ISNUMBER(Z37)),"",ABS(Z37-U37))</x:f>
        <x:v>5.237761728863134</x:v>
      </x:c>
      <x:c r="AF37" s="93" t="n">
        <x:f>IF(NOT(ISNUMBER(AA37)),"",ABS(LOG10(AA37)-LOG10(V37)))</x:f>
        <x:v>0.17285280412936022</x:v>
      </x:c>
      <x:c r="AG37" s="93" t="n">
        <x:f>IF(NOT(ISNUMBER(AB37)),"",ABS(LOG10(AB37)-LOG10(W37)))</x:f>
        <x:v>0.2452258777734002</x:v>
      </x:c>
      <x:c r="AH37" s="93" t="n">
        <x:f>IF(NOT(ISNUMBER(AC37)),"",ABS(LOG10(AC37)-LOG10(X37)))</x:f>
        <x:v>0.07237307364400003</x:v>
      </x:c>
      <x:c r="AI37" s="85" t="str">
        <x:f>IF(OR(NOT(ISNUMBER(Y37)),NOT(ISNUMBER(Z37)),NOT(ISNUMBER(AA37)),NOT(ISNUMBER(AB37))),"",IF(AND(Y37&gt;=0.3,Y37&lt;=1.2,Z37&lt;=200,AA37&gt;=1E-4,AB37&lt;=1E-6),"PASS","FAIL"))</x:f>
        <x:v>PASS</x:v>
      </x:c>
      <x:c r="AJ37" s="85" t="str"/>
    </x:row>
    <x:row r="38">
      <x:c r="A38" s="85" t="str">
        <x:v>S065-37</x:v>
      </x:c>
      <x:c r="B38" s="85" t="str">
        <x:v>R037</x:v>
      </x:c>
      <x:c r="C38" s="93" t="n">
        <x:v>0.065</x:v>
      </x:c>
      <x:c r="D38" s="93" t="str">
        <x:v>Practical</x:v>
      </x:c>
      <x:c r="E38" s="93" t="n">
        <x:v>1</x:v>
      </x:c>
      <x:c r="F38" s="94" t="n">
        <x:v>2768</x:v>
      </x:c>
      <x:c r="G38" s="93" t="n">
        <x:v>0.7551152603756689</x:v>
      </x:c>
      <x:c r="H38" s="93" t="n">
        <x:v>76.91629020033784</x:v>
      </x:c>
      <x:c r="I38" s="95" t="n">
        <x:v>0.0006606200748743697</x:v>
      </x:c>
      <x:c r="J38" s="95" t="n">
        <x:v>2.264478416498181e-15</x:v>
      </x:c>
      <x:c r="K38" s="95" t="n">
        <x:v>291731672097.78986</x:v>
      </x:c>
      <x:c r="L38" s="95" t="n">
        <x:v>61711769627.09131</x:v>
      </x:c>
      <x:c r="M38" s="95" t="n">
        <x:v>5.995265431546394</x:v>
      </x:c>
      <x:c r="N38" s="95" t="n">
        <x:v>104040908790772.73</x:v>
      </x:c>
      <x:c r="O38" s="95" t="n">
        <x:v>14.513616287241504</x:v>
      </x:c>
      <x:c r="P38" s="93" t="n">
        <x:v>0.3099289353309937</x:v>
      </x:c>
      <x:c r="Q38" s="95" t="n">
        <x:v>55074430645552.56</x:v>
      </x:c>
      <x:c r="R38" s="95" t="n">
        <x:v>8.023608582326993</x:v>
      </x:c>
      <x:c r="S38" s="97" t="n">
        <x:v>0.9266666666666666</x:v>
      </x:c>
      <x:c r="T38" s="93" t="n">
        <x:v>0.745473333333336</x:v>
      </x:c>
      <x:c r="U38" s="98" t="n">
        <x:v>76.97851354110512</x:v>
      </x:c>
      <x:c r="V38" s="95" t="n">
        <x:v>0.0005798505027610725</x:v>
      </x:c>
      <x:c r="W38" s="95" t="n">
        <x:v>2.3769810792163846e-15</x:v>
      </x:c>
      <x:c r="X38" s="95" t="n">
        <x:v>243944096918.1929</x:v>
      </x:c>
      <x:c r="Y38" s="99" t="n">
        <x:f>IFERROR(IF(ISBLANK(INDEX('Short_TCAD'!$K$2:$K$100,MATCH(B38,'Short_TCAD'!$A$2:$A$100,0))),"",INDEX('Short_TCAD'!$K$2:$K$100,MATCH(B38,'Short_TCAD'!$A$2:$A$100,0))),"")</x:f>
        <x:v>0.908</x:v>
      </x:c>
      <x:c r="Z38" s="100" t="n">
        <x:f>IFERROR(IF(ISBLANK(INDEX('Short_TCAD'!$L$2:$L$100,MATCH(B38,'Short_TCAD'!$A$2:$A$100,0))),"",INDEX('Short_TCAD'!$L$2:$L$100,MATCH(B38,'Short_TCAD'!$A$2:$A$100,0))),"")</x:f>
        <x:v>80.904</x:v>
      </x:c>
      <x:c r="AA38" s="96" t="n">
        <x:f>IFERROR(IF(ISBLANK(INDEX('Short_TCAD'!$M$2:$M$100,MATCH(B38,'Short_TCAD'!$A$2:$A$100,0))),"",INDEX('Short_TCAD'!$M$2:$M$100,MATCH(B38,'Short_TCAD'!$A$2:$A$100,0))),"")</x:f>
        <x:v>0.0004115</x:v>
      </x:c>
      <x:c r="AB38" s="96" t="n">
        <x:f>IFERROR(IF(ISBLANK(INDEX('Short_TCAD'!$N$2:$N$100,MATCH(B38,'Short_TCAD'!$A$2:$A$100,0))),"",INDEX('Short_TCAD'!$N$2:$N$100,MATCH(B38,'Short_TCAD'!$A$2:$A$100,0))),"")</x:f>
        <x:v>1.986e-15</x:v>
      </x:c>
      <x:c r="AC38" s="95" t="n">
        <x:f>IF(OR(NOT(ISNUMBER(AA38)),NOT(ISNUMBER(AB38))),"",AA38/AB38)</x:f>
        <x:v>207200402819.73816</x:v>
      </x:c>
      <x:c r="AD38" s="93" t="n">
        <x:f>IF(NOT(ISNUMBER(Y38)),"",ABS(Y38-T38)*1000)</x:f>
        <x:v>162.52666666666406</x:v>
      </x:c>
      <x:c r="AE38" s="93" t="n">
        <x:f>IF(NOT(ISNUMBER(Z38)),"",ABS(Z38-U38))</x:f>
        <x:v>3.9254864588948806</x:v>
      </x:c>
      <x:c r="AF38" s="93" t="n">
        <x:f>IF(NOT(ISNUMBER(AA38)),"",ABS(LOG10(AA38)-LOG10(V38)))</x:f>
        <x:v>0.14894619850636026</x:v>
      </x:c>
      <x:c r="AG38" s="93" t="n">
        <x:f>IF(NOT(ISNUMBER(AB38)),"",ABS(LOG10(AB38)-LOG10(W38)))</x:f>
        <x:v>0.07804648059589958</x:v>
      </x:c>
      <x:c r="AH38" s="93" t="n">
        <x:f>IF(NOT(ISNUMBER(AC38)),"",ABS(LOG10(AC38)-LOG10(X38)))</x:f>
        <x:v>0.07089971791050154</x:v>
      </x:c>
      <x:c r="AI38" s="85" t="str">
        <x:f>IF(OR(NOT(ISNUMBER(Y38)),NOT(ISNUMBER(Z38)),NOT(ISNUMBER(AA38)),NOT(ISNUMBER(AB38))),"",IF(AND(Y38&gt;=0.3,Y38&lt;=1.2,Z38&lt;=200,AA38&gt;=1E-4,AB38&lt;=1E-6),"PASS","FAIL"))</x:f>
        <x:v>PASS</x:v>
      </x:c>
      <x:c r="AJ38" s="85" t="str"/>
    </x:row>
    <x:row r="39">
      <x:c r="A39" s="85" t="str">
        <x:v>S065-38</x:v>
      </x:c>
      <x:c r="B39" s="85" t="str">
        <x:v>R038</x:v>
      </x:c>
      <x:c r="C39" s="93" t="n">
        <x:v>0.065</x:v>
      </x:c>
      <x:c r="D39" s="93" t="str">
        <x:v>Practical</x:v>
      </x:c>
      <x:c r="E39" s="93" t="n">
        <x:v>1</x:v>
      </x:c>
      <x:c r="F39" s="94" t="n">
        <x:v>1668</x:v>
      </x:c>
      <x:c r="G39" s="93" t="n">
        <x:v>0.545129362022088</x:v>
      </x:c>
      <x:c r="H39" s="93" t="n">
        <x:v>83.12538206196784</x:v>
      </x:c>
      <x:c r="I39" s="95" t="n">
        <x:v>0.0012695646539100248</x:v>
      </x:c>
      <x:c r="J39" s="95" t="n">
        <x:v>4.3367268910456065e-11</x:v>
      </x:c>
      <x:c r="K39" s="95" t="n">
        <x:v>29274719.985973716</x:v>
      </x:c>
      <x:c r="L39" s="95" t="n">
        <x:v>71040252054.1972</x:v>
      </x:c>
      <x:c r="M39" s="95" t="n">
        <x:v>12.739187252765063</x:v>
      </x:c>
      <x:c r="N39" s="95" t="n">
        <x:v>135308402110670.5</x:v>
      </x:c>
      <x:c r="O39" s="95" t="n">
        <x:v>8.257240325827317</x:v>
      </x:c>
      <x:c r="P39" s="93" t="n">
        <x:v>0.13519829558756777</x:v>
      </x:c>
      <x:c r="Q39" s="95" t="n">
        <x:v>7874031710033.47</x:v>
      </x:c>
      <x:c r="R39" s="95" t="n">
        <x:v>5.6468508494527505</x:v>
      </x:c>
      <x:c r="S39" s="97" t="n">
        <x:v>1</x:v>
      </x:c>
      <x:c r="T39" s="93" t="n">
        <x:v>0.5660366666666685</x:v>
      </x:c>
      <x:c r="U39" s="98" t="n">
        <x:v>81.01844706019908</x:v>
      </x:c>
      <x:c r="V39" s="95" t="n">
        <x:v>0.0014280894689183159</x:v>
      </x:c>
      <x:c r="W39" s="95" t="n">
        <x:v>4.2682267396145466e-11</x:v>
      </x:c>
      <x:c r="X39" s="95" t="n">
        <x:v>33458613.05032926</x:v>
      </x:c>
      <x:c r="Y39" s="99" t="n">
        <x:f>IFERROR(IF(ISBLANK(INDEX('Short_TCAD'!$K$2:$K$100,MATCH(B39,'Short_TCAD'!$A$2:$A$100,0))),"",INDEX('Short_TCAD'!$K$2:$K$100,MATCH(B39,'Short_TCAD'!$A$2:$A$100,0))),"")</x:f>
        <x:v>0.509</x:v>
      </x:c>
      <x:c r="Z39" s="100" t="n">
        <x:f>IFERROR(IF(ISBLANK(INDEX('Short_TCAD'!$L$2:$L$100,MATCH(B39,'Short_TCAD'!$A$2:$A$100,0))),"",INDEX('Short_TCAD'!$L$2:$L$100,MATCH(B39,'Short_TCAD'!$A$2:$A$100,0))),"")</x:f>
        <x:v>111.276</x:v>
      </x:c>
      <x:c r="AA39" s="96" t="n">
        <x:f>IFERROR(IF(ISBLANK(INDEX('Short_TCAD'!$M$2:$M$100,MATCH(B39,'Short_TCAD'!$A$2:$A$100,0))),"",INDEX('Short_TCAD'!$M$2:$M$100,MATCH(B39,'Short_TCAD'!$A$2:$A$100,0))),"")</x:f>
        <x:v>0.001772</x:v>
      </x:c>
      <x:c r="AB39" s="96" t="n">
        <x:f>IFERROR(IF(ISBLANK(INDEX('Short_TCAD'!$N$2:$N$100,MATCH(B39,'Short_TCAD'!$A$2:$A$100,0))),"",INDEX('Short_TCAD'!$N$2:$N$100,MATCH(B39,'Short_TCAD'!$A$2:$A$100,0))),"")</x:f>
        <x:v>2.258e-7</x:v>
      </x:c>
      <x:c r="AC39" s="95" t="n">
        <x:f>IF(OR(NOT(ISNUMBER(AA39)),NOT(ISNUMBER(AB39))),"",AA39/AB39)</x:f>
        <x:v>7847.652790079716</x:v>
      </x:c>
      <x:c r="AD39" s="93" t="n">
        <x:f>IF(NOT(ISNUMBER(Y39)),"",ABS(Y39-T39)*1000)</x:f>
        <x:v>57.03666666666851</x:v>
      </x:c>
      <x:c r="AE39" s="93" t="n">
        <x:f>IF(NOT(ISNUMBER(Z39)),"",ABS(Z39-U39))</x:f>
        <x:v>30.257552939800917</x:v>
      </x:c>
      <x:c r="AF39" s="93" t="n">
        <x:f>IF(NOT(ISNUMBER(AA39)),"",ABS(LOG10(AA39)-LOG10(V39)))</x:f>
        <x:v>0.09370830097896965</x:v>
      </x:c>
      <x:c r="AG39" s="93" t="n">
        <x:f>IF(NOT(ISNUMBER(AB39)),"",ABS(LOG10(AB39)-LOG10(W39)))</x:f>
        <x:v>3.72347645533985</x:v>
      </x:c>
      <x:c r="AH39" s="93" t="n">
        <x:f>IF(NOT(ISNUMBER(AC39)),"",ABS(LOG10(AC39)-LOG10(X39)))</x:f>
        <x:v>3.6297681543608595</x:v>
      </x:c>
      <x:c r="AI39" s="85" t="str">
        <x:f>IF(OR(NOT(ISNUMBER(Y39)),NOT(ISNUMBER(Z39)),NOT(ISNUMBER(AA39)),NOT(ISNUMBER(AB39))),"",IF(AND(Y39&gt;=0.3,Y39&lt;=1.2,Z39&lt;=200,AA39&gt;=1E-4,AB39&lt;=1E-6),"PASS","FAIL"))</x:f>
        <x:v>PASS</x:v>
      </x:c>
      <x:c r="AJ39" s="85" t="str"/>
    </x:row>
    <x:row r="40">
      <x:c r="A40" s="85" t="str">
        <x:v>S065-39</x:v>
      </x:c>
      <x:c r="B40" s="85" t="str">
        <x:v>R038</x:v>
      </x:c>
      <x:c r="C40" s="93" t="n">
        <x:v>0.065</x:v>
      </x:c>
      <x:c r="D40" s="93" t="str">
        <x:v>Practical</x:v>
      </x:c>
      <x:c r="E40" s="93" t="n">
        <x:v>1</x:v>
      </x:c>
      <x:c r="F40" s="94" t="n">
        <x:v>255</x:v>
      </x:c>
      <x:c r="G40" s="93" t="n">
        <x:v>0.6272729030395704</x:v>
      </x:c>
      <x:c r="H40" s="93" t="n">
        <x:v>85.15182120464011</x:v>
      </x:c>
      <x:c r="I40" s="95" t="n">
        <x:v>0.0018196663318023345</x:v>
      </x:c>
      <x:c r="J40" s="95" t="n">
        <x:v>5.789039773923465e-11</x:v>
      </x:c>
      <x:c r="K40" s="95" t="n">
        <x:v>31432956.118197016</x:v>
      </x:c>
      <x:c r="L40" s="95" t="n">
        <x:v>71040252054.1972</x:v>
      </x:c>
      <x:c r="M40" s="95" t="n">
        <x:v>12.739187252765063</x:v>
      </x:c>
      <x:c r="N40" s="95" t="n">
        <x:v>135308402110670.5</x:v>
      </x:c>
      <x:c r="O40" s="95" t="n">
        <x:v>8.257240325827317</x:v>
      </x:c>
      <x:c r="P40" s="93" t="n">
        <x:v>0.13519829558756777</x:v>
      </x:c>
      <x:c r="Q40" s="95" t="n">
        <x:v>7874031710033.47</x:v>
      </x:c>
      <x:c r="R40" s="95" t="n">
        <x:v>5.6468508494527505</x:v>
      </x:c>
      <x:c r="S40" s="97" t="n">
        <x:v>1</x:v>
      </x:c>
      <x:c r="T40" s="93" t="n">
        <x:v>0.5660366666666685</x:v>
      </x:c>
      <x:c r="U40" s="98" t="n">
        <x:v>81.01844706019908</x:v>
      </x:c>
      <x:c r="V40" s="95" t="n">
        <x:v>0.0014280894689183159</x:v>
      </x:c>
      <x:c r="W40" s="95" t="n">
        <x:v>4.2682267396145466e-11</x:v>
      </x:c>
      <x:c r="X40" s="95" t="n">
        <x:v>33458613.05032926</x:v>
      </x:c>
      <x:c r="Y40" s="99" t="n">
        <x:f>IFERROR(IF(ISBLANK(INDEX('Short_TCAD'!$K$2:$K$100,MATCH(B40,'Short_TCAD'!$A$2:$A$100,0))),"",INDEX('Short_TCAD'!$K$2:$K$100,MATCH(B40,'Short_TCAD'!$A$2:$A$100,0))),"")</x:f>
        <x:v>0.509</x:v>
      </x:c>
      <x:c r="Z40" s="100" t="n">
        <x:f>IFERROR(IF(ISBLANK(INDEX('Short_TCAD'!$L$2:$L$100,MATCH(B40,'Short_TCAD'!$A$2:$A$100,0))),"",INDEX('Short_TCAD'!$L$2:$L$100,MATCH(B40,'Short_TCAD'!$A$2:$A$100,0))),"")</x:f>
        <x:v>111.276</x:v>
      </x:c>
      <x:c r="AA40" s="96" t="n">
        <x:f>IFERROR(IF(ISBLANK(INDEX('Short_TCAD'!$M$2:$M$100,MATCH(B40,'Short_TCAD'!$A$2:$A$100,0))),"",INDEX('Short_TCAD'!$M$2:$M$100,MATCH(B40,'Short_TCAD'!$A$2:$A$100,0))),"")</x:f>
        <x:v>0.001772</x:v>
      </x:c>
      <x:c r="AB40" s="96" t="n">
        <x:f>IFERROR(IF(ISBLANK(INDEX('Short_TCAD'!$N$2:$N$100,MATCH(B40,'Short_TCAD'!$A$2:$A$100,0))),"",INDEX('Short_TCAD'!$N$2:$N$100,MATCH(B40,'Short_TCAD'!$A$2:$A$100,0))),"")</x:f>
        <x:v>2.258e-7</x:v>
      </x:c>
      <x:c r="AC40" s="95" t="n">
        <x:f>IF(OR(NOT(ISNUMBER(AA40)),NOT(ISNUMBER(AB40))),"",AA40/AB40)</x:f>
        <x:v>7847.652790079716</x:v>
      </x:c>
      <x:c r="AD40" s="93" t="n">
        <x:f>IF(NOT(ISNUMBER(Y40)),"",ABS(Y40-T40)*1000)</x:f>
        <x:v>57.03666666666851</x:v>
      </x:c>
      <x:c r="AE40" s="93" t="n">
        <x:f>IF(NOT(ISNUMBER(Z40)),"",ABS(Z40-U40))</x:f>
        <x:v>30.257552939800917</x:v>
      </x:c>
      <x:c r="AF40" s="93" t="n">
        <x:f>IF(NOT(ISNUMBER(AA40)),"",ABS(LOG10(AA40)-LOG10(V40)))</x:f>
        <x:v>0.09370830097896965</x:v>
      </x:c>
      <x:c r="AG40" s="93" t="n">
        <x:f>IF(NOT(ISNUMBER(AB40)),"",ABS(LOG10(AB40)-LOG10(W40)))</x:f>
        <x:v>3.72347645533985</x:v>
      </x:c>
      <x:c r="AH40" s="93" t="n">
        <x:f>IF(NOT(ISNUMBER(AC40)),"",ABS(LOG10(AC40)-LOG10(X40)))</x:f>
        <x:v>3.6297681543608595</x:v>
      </x:c>
      <x:c r="AI40" s="85" t="str">
        <x:f>IF(OR(NOT(ISNUMBER(Y40)),NOT(ISNUMBER(Z40)),NOT(ISNUMBER(AA40)),NOT(ISNUMBER(AB40))),"",IF(AND(Y40&gt;=0.3,Y40&lt;=1.2,Z40&lt;=200,AA40&gt;=1E-4,AB40&lt;=1E-6),"PASS","FAIL"))</x:f>
        <x:v>PASS</x:v>
      </x:c>
      <x:c r="AJ40" s="85" t="str"/>
    </x:row>
    <x:row r="41">
      <x:c r="A41" s="85" t="str">
        <x:v>S065-40</x:v>
      </x:c>
      <x:c r="B41" s="85" t="str">
        <x:v>R039</x:v>
      </x:c>
      <x:c r="C41" s="93" t="n">
        <x:v>0.065</x:v>
      </x:c>
      <x:c r="D41" s="93" t="str">
        <x:v>Practical</x:v>
      </x:c>
      <x:c r="E41" s="93" t="n">
        <x:v>1</x:v>
      </x:c>
      <x:c r="F41" s="94" t="n">
        <x:v>5263</x:v>
      </x:c>
      <x:c r="G41" s="93" t="n">
        <x:v>0.7958931821400868</x:v>
      </x:c>
      <x:c r="H41" s="93" t="n">
        <x:v>78.90514628242458</x:v>
      </x:c>
      <x:c r="I41" s="95" t="n">
        <x:v>0.000744169241085558</x:v>
      </x:c>
      <x:c r="J41" s="95" t="n">
        <x:v>3.0461717681380718e-15</x:v>
      </x:c>
      <x:c r="K41" s="95" t="n">
        <x:v>244296545870.89178</x:v>
      </x:c>
      <x:c r="L41" s="95" t="n">
        <x:v>50521455377.061195</x:v>
      </x:c>
      <x:c r="M41" s="95" t="n">
        <x:v>12.118112636506206</x:v>
      </x:c>
      <x:c r="N41" s="95" t="n">
        <x:v>136339090664700.39</x:v>
      </x:c>
      <x:c r="O41" s="95" t="n">
        <x:v>10.609206370821331</x:v>
      </x:c>
      <x:c r="P41" s="93" t="n">
        <x:v>0.13305544399277802</x:v>
      </x:c>
      <x:c r="Q41" s="95" t="n">
        <x:v>58963115787405.05</x:v>
      </x:c>
      <x:c r="R41" s="95" t="n">
        <x:v>8.334582367323232</x:v>
      </x:c>
      <x:c r="S41" s="97" t="n">
        <x:v>0.9633333333333334</x:v>
      </x:c>
      <x:c r="T41" s="93" t="n">
        <x:v>0.7691233333333367</x:v>
      </x:c>
      <x:c r="U41" s="98" t="n">
        <x:v>79.15552081272739</x:v>
      </x:c>
      <x:c r="V41" s="95" t="n">
        <x:v>0.000734770126263754</x:v>
      </x:c>
      <x:c r="W41" s="95" t="n">
        <x:v>3.0295379810649093e-15</x:v>
      </x:c>
      <x:c r="X41" s="95" t="n">
        <x:v>242535373662.97546</x:v>
      </x:c>
      <x:c r="Y41" s="99" t="n">
        <x:f>IFERROR(IF(ISBLANK(INDEX('Short_TCAD'!$K$2:$K$100,MATCH(B41,'Short_TCAD'!$A$2:$A$100,0))),"",INDEX('Short_TCAD'!$K$2:$K$100,MATCH(B41,'Short_TCAD'!$A$2:$A$100,0))),"")</x:f>
        <x:v>0.777</x:v>
      </x:c>
      <x:c r="Z41" s="100" t="n">
        <x:f>IFERROR(IF(ISBLANK(INDEX('Short_TCAD'!$L$2:$L$100,MATCH(B41,'Short_TCAD'!$A$2:$A$100,0))),"",INDEX('Short_TCAD'!$L$2:$L$100,MATCH(B41,'Short_TCAD'!$A$2:$A$100,0))),"")</x:f>
        <x:v>79.517</x:v>
      </x:c>
      <x:c r="AA41" s="96" t="n">
        <x:f>IFERROR(IF(ISBLANK(INDEX('Short_TCAD'!$M$2:$M$100,MATCH(B41,'Short_TCAD'!$A$2:$A$100,0))),"",INDEX('Short_TCAD'!$M$2:$M$100,MATCH(B41,'Short_TCAD'!$A$2:$A$100,0))),"")</x:f>
        <x:v>0.0008354</x:v>
      </x:c>
      <x:c r="AB41" s="96" t="n">
        <x:f>IFERROR(IF(ISBLANK(INDEX('Short_TCAD'!$N$2:$N$100,MATCH(B41,'Short_TCAD'!$A$2:$A$100,0))),"",INDEX('Short_TCAD'!$N$2:$N$100,MATCH(B41,'Short_TCAD'!$A$2:$A$100,0))),"")</x:f>
        <x:v>2.561e-15</x:v>
      </x:c>
      <x:c r="AC41" s="95" t="n">
        <x:f>IF(OR(NOT(ISNUMBER(AA41)),NOT(ISNUMBER(AB41))),"",AA41/AB41)</x:f>
        <x:v>326200702850.44904</x:v>
      </x:c>
      <x:c r="AD41" s="93" t="n">
        <x:f>IF(NOT(ISNUMBER(Y41)),"",ABS(Y41-T41)*1000)</x:f>
        <x:v>7.876666666663312</x:v>
      </x:c>
      <x:c r="AE41" s="93" t="n">
        <x:f>IF(NOT(ISNUMBER(Z41)),"",ABS(Z41-U41))</x:f>
        <x:v>0.3614791872726073</x:v>
      </x:c>
      <x:c r="AF41" s="93" t="n">
        <x:f>IF(NOT(ISNUMBER(AA41)),"",ABS(LOG10(AA41)-LOG10(V41)))</x:f>
        <x:v>0.055742980157800215</x:v>
      </x:c>
      <x:c r="AG41" s="93" t="n">
        <x:f>IF(NOT(ISNUMBER(AB41)),"",ABS(LOG10(AB41)-LOG10(W41)))</x:f>
        <x:v>0.07296682311200087</x:v>
      </x:c>
      <x:c r="AH41" s="93" t="n">
        <x:f>IF(NOT(ISNUMBER(AC41)),"",ABS(LOG10(AC41)-LOG10(X41)))</x:f>
        <x:v>0.12870980326979975</x:v>
      </x:c>
      <x:c r="AI41" s="85" t="str">
        <x:f>IF(OR(NOT(ISNUMBER(Y41)),NOT(ISNUMBER(Z41)),NOT(ISNUMBER(AA41)),NOT(ISNUMBER(AB41))),"",IF(AND(Y41&gt;=0.3,Y41&lt;=1.2,Z41&lt;=200,AA41&gt;=1E-4,AB41&lt;=1E-6),"PASS","FAIL"))</x:f>
        <x:v>PASS</x:v>
      </x:c>
      <x:c r="AJ41" s="85" t="str"/>
    </x:row>
    <x:row r="42">
      <x:c r="A42" s="85" t="str">
        <x:v>S065-41</x:v>
      </x:c>
      <x:c r="B42" s="85" t="str">
        <x:v>R040</x:v>
      </x:c>
      <x:c r="C42" s="93" t="n">
        <x:v>0.065</x:v>
      </x:c>
      <x:c r="D42" s="93" t="str">
        <x:v>Practical</x:v>
      </x:c>
      <x:c r="E42" s="93" t="n">
        <x:v>1</x:v>
      </x:c>
      <x:c r="F42" s="94" t="n">
        <x:v>6616</x:v>
      </x:c>
      <x:c r="G42" s="93" t="n">
        <x:v>0.5275145953951409</x:v>
      </x:c>
      <x:c r="H42" s="93" t="n">
        <x:v>89.7901854468749</x:v>
      </x:c>
      <x:c r="I42" s="95" t="n">
        <x:v>0.0010953326287042706</x:v>
      </x:c>
      <x:c r="J42" s="95" t="n">
        <x:v>3.4064604498099284e-9</x:v>
      </x:c>
      <x:c r="K42" s="95" t="n">
        <x:v>321545.6761769793</x:v>
      </x:c>
      <x:c r="L42" s="95" t="n">
        <x:v>27762852111.68566</x:v>
      </x:c>
      <x:c r="M42" s="95" t="n">
        <x:v>12.093787186144073</x:v>
      </x:c>
      <x:c r="N42" s="95" t="n">
        <x:v>53427028728783.54</x:v>
      </x:c>
      <x:c r="O42" s="95" t="n">
        <x:v>12.270700210094418</x:v>
      </x:c>
      <x:c r="P42" s="93" t="n">
        <x:v>0.2776528708216652</x:v>
      </x:c>
      <x:c r="Q42" s="95" t="n">
        <x:v>15074780663251.043</x:v>
      </x:c>
      <x:c r="R42" s="95" t="n">
        <x:v>8.240378638765462</x:v>
      </x:c>
      <x:c r="S42" s="97" t="n">
        <x:v>0.9566666666666667</x:v>
      </x:c>
      <x:c r="T42" s="93" t="n">
        <x:v>0.5221199999999993</x:v>
      </x:c>
      <x:c r="U42" s="98" t="n">
        <x:v>89.93718222274214</x:v>
      </x:c>
      <x:c r="V42" s="95" t="n">
        <x:v>0.0009410512474291106</x:v>
      </x:c>
      <x:c r="W42" s="95" t="n">
        <x:v>3.4564374631530135e-9</x:v>
      </x:c>
      <x:c r="X42" s="95" t="n">
        <x:v>272260.45819173293</x:v>
      </x:c>
      <x:c r="Y42" s="99" t="n">
        <x:f>IFERROR(IF(ISBLANK(INDEX('Short_TCAD'!$K$2:$K$100,MATCH(B42,'Short_TCAD'!$A$2:$A$100,0))),"",INDEX('Short_TCAD'!$K$2:$K$100,MATCH(B42,'Short_TCAD'!$A$2:$A$100,0))),"")</x:f>
        <x:v>0.587</x:v>
      </x:c>
      <x:c r="Z42" s="100" t="n">
        <x:f>IFERROR(IF(ISBLANK(INDEX('Short_TCAD'!$L$2:$L$100,MATCH(B42,'Short_TCAD'!$A$2:$A$100,0))),"",INDEX('Short_TCAD'!$L$2:$L$100,MATCH(B42,'Short_TCAD'!$A$2:$A$100,0))),"")</x:f>
        <x:v>72.479</x:v>
      </x:c>
      <x:c r="AA42" s="96" t="n">
        <x:f>IFERROR(IF(ISBLANK(INDEX('Short_TCAD'!$M$2:$M$100,MATCH(B42,'Short_TCAD'!$A$2:$A$100,0))),"",INDEX('Short_TCAD'!$M$2:$M$100,MATCH(B42,'Short_TCAD'!$A$2:$A$100,0))),"")</x:f>
        <x:v>0.0008441</x:v>
      </x:c>
      <x:c r="AB42" s="96" t="n">
        <x:f>IFERROR(IF(ISBLANK(INDEX('Short_TCAD'!$N$2:$N$100,MATCH(B42,'Short_TCAD'!$A$2:$A$100,0))),"",INDEX('Short_TCAD'!$N$2:$N$100,MATCH(B42,'Short_TCAD'!$A$2:$A$100,0))),"")</x:f>
        <x:v>4.286e-13</x:v>
      </x:c>
      <x:c r="AC42" s="95" t="n">
        <x:f>IF(OR(NOT(ISNUMBER(AA42)),NOT(ISNUMBER(AB42))),"",AA42/AB42)</x:f>
        <x:v>1969435370.9752681</x:v>
      </x:c>
      <x:c r="AD42" s="93" t="n">
        <x:f>IF(NOT(ISNUMBER(Y42)),"",ABS(Y42-T42)*1000)</x:f>
        <x:v>64.88000000000072</x:v>
      </x:c>
      <x:c r="AE42" s="93" t="n">
        <x:f>IF(NOT(ISNUMBER(Z42)),"",ABS(Z42-U42))</x:f>
        <x:v>17.45818222274214</x:v>
      </x:c>
      <x:c r="AF42" s="93" t="n">
        <x:f>IF(NOT(ISNUMBER(AA42)),"",ABS(LOG10(AA42)-LOG10(V42)))</x:f>
        <x:v>0.047219374453689955</x:v>
      </x:c>
      <x:c r="AG42" s="93" t="n">
        <x:f>IF(NOT(ISNUMBER(AB42)),"",ABS(LOG10(AB42)-LOG10(W42)))</x:f>
        <x:v>3.906576536953491</x:v>
      </x:c>
      <x:c r="AH42" s="93" t="n">
        <x:f>IF(NOT(ISNUMBER(AC42)),"",ABS(LOG10(AC42)-LOG10(X42)))</x:f>
        <x:v>3.85935716249978</x:v>
      </x:c>
      <x:c r="AI42" s="85" t="str">
        <x:f>IF(OR(NOT(ISNUMBER(Y42)),NOT(ISNUMBER(Z42)),NOT(ISNUMBER(AA42)),NOT(ISNUMBER(AB42))),"",IF(AND(Y42&gt;=0.3,Y42&lt;=1.2,Z42&lt;=200,AA42&gt;=1E-4,AB42&lt;=1E-6),"PASS","FAIL"))</x:f>
        <x:v>PASS</x:v>
      </x:c>
      <x:c r="AJ42" s="85" t="str"/>
    </x:row>
    <x:row r="43">
      <x:c r="A43" s="85" t="str">
        <x:v>S065-42</x:v>
      </x:c>
      <x:c r="B43" s="85" t="str">
        <x:v>R041</x:v>
      </x:c>
      <x:c r="C43" s="93" t="n">
        <x:v>0.065</x:v>
      </x:c>
      <x:c r="D43" s="93" t="str">
        <x:v>Practical</x:v>
      </x:c>
      <x:c r="E43" s="93" t="n">
        <x:v>1</x:v>
      </x:c>
      <x:c r="F43" s="94" t="n">
        <x:v>841</x:v>
      </x:c>
      <x:c r="G43" s="93" t="n">
        <x:v>0.5699909237448577</x:v>
      </x:c>
      <x:c r="H43" s="93" t="n">
        <x:v>78.8982357829909</x:v>
      </x:c>
      <x:c r="I43" s="95" t="n">
        <x:v>0.0016425143909810436</x:v>
      </x:c>
      <x:c r="J43" s="95" t="n">
        <x:v>8.169276437432881e-11</x:v>
      </x:c>
      <x:c r="K43" s="95" t="n">
        <x:v>20105995.966237478</x:v>
      </x:c>
      <x:c r="L43" s="95" t="n">
        <x:v>46741997675.20699</x:v>
      </x:c>
      <x:c r="M43" s="95" t="n">
        <x:v>5.474239792456731</x:v>
      </x:c>
      <x:c r="N43" s="95" t="n">
        <x:v>88958500703204.42</x:v>
      </x:c>
      <x:c r="O43" s="95" t="n">
        <x:v>7.561565995348953</x:v>
      </x:c>
      <x:c r="P43" s="93" t="n">
        <x:v>0.4467304973776746</x:v>
      </x:c>
      <x:c r="Q43" s="95" t="n">
        <x:v>12334538004707.96</x:v>
      </x:c>
      <x:c r="R43" s="95" t="n">
        <x:v>7.9162352050556315</x:v>
      </x:c>
      <x:c r="S43" s="97" t="n">
        <x:v>0.9966666666666667</x:v>
      </x:c>
      <x:c r="T43" s="93" t="n">
        <x:v>0.5611700000000044</x:v>
      </x:c>
      <x:c r="U43" s="98" t="n">
        <x:v>79.54381781812586</x:v>
      </x:c>
      <x:c r="V43" s="95" t="n">
        <x:v>0.0016111065153105477</x:v>
      </x:c>
      <x:c r="W43" s="95" t="n">
        <x:v>8.319494046367884e-11</x:v>
      </x:c>
      <x:c r="X43" s="95" t="n">
        <x:v>19365438.647244696</x:v>
      </x:c>
      <x:c r="Y43" s="99" t="n">
        <x:f>IFERROR(IF(ISBLANK(INDEX('Short_TCAD'!$K$2:$K$100,MATCH(B43,'Short_TCAD'!$A$2:$A$100,0))),"",INDEX('Short_TCAD'!$K$2:$K$100,MATCH(B43,'Short_TCAD'!$A$2:$A$100,0))),"")</x:f>
        <x:v>0.588</x:v>
      </x:c>
      <x:c r="Z43" s="100" t="n">
        <x:f>IFERROR(IF(ISBLANK(INDEX('Short_TCAD'!$L$2:$L$100,MATCH(B43,'Short_TCAD'!$A$2:$A$100,0))),"",INDEX('Short_TCAD'!$L$2:$L$100,MATCH(B43,'Short_TCAD'!$A$2:$A$100,0))),"")</x:f>
        <x:v>75.634</x:v>
      </x:c>
      <x:c r="AA43" s="96" t="n">
        <x:f>IFERROR(IF(ISBLANK(INDEX('Short_TCAD'!$M$2:$M$100,MATCH(B43,'Short_TCAD'!$A$2:$A$100,0))),"",INDEX('Short_TCAD'!$M$2:$M$100,MATCH(B43,'Short_TCAD'!$A$2:$A$100,0))),"")</x:f>
        <x:v>0.00146</x:v>
      </x:c>
      <x:c r="AB43" s="96" t="n">
        <x:f>IFERROR(IF(ISBLANK(INDEX('Short_TCAD'!$N$2:$N$100,MATCH(B43,'Short_TCAD'!$A$2:$A$100,0))),"",INDEX('Short_TCAD'!$N$2:$N$100,MATCH(B43,'Short_TCAD'!$A$2:$A$100,0))),"")</x:f>
        <x:v>3.22e-12</x:v>
      </x:c>
      <x:c r="AC43" s="95" t="n">
        <x:f>IF(OR(NOT(ISNUMBER(AA43)),NOT(ISNUMBER(AB43))),"",AA43/AB43)</x:f>
        <x:v>453416149.06832296</x:v>
      </x:c>
      <x:c r="AD43" s="93" t="n">
        <x:f>IF(NOT(ISNUMBER(Y43)),"",ABS(Y43-T43)*1000)</x:f>
        <x:v>26.82999999999558</x:v>
      </x:c>
      <x:c r="AE43" s="93" t="n">
        <x:f>IF(NOT(ISNUMBER(Z43)),"",ABS(Z43-U43))</x:f>
        <x:v>3.909817818125859</x:v>
      </x:c>
      <x:c r="AF43" s="93" t="n">
        <x:f>IF(NOT(ISNUMBER(AA43)),"",ABS(LOG10(AA43)-LOG10(V43)))</x:f>
        <x:v>0.0427713981558302</x:v>
      </x:c>
      <x:c r="AG43" s="93" t="n">
        <x:f>IF(NOT(ISNUMBER(AB43)),"",ABS(LOG10(AB43)-LOG10(W43)))</x:f>
        <x:v>1.4122410435911004</x:v>
      </x:c>
      <x:c r="AH43" s="93" t="n">
        <x:f>IF(NOT(ISNUMBER(AC43)),"",ABS(LOG10(AC43)-LOG10(X43)))</x:f>
        <x:v>1.3694696454352204</x:v>
      </x:c>
      <x:c r="AI43" s="85" t="str">
        <x:f>IF(OR(NOT(ISNUMBER(Y43)),NOT(ISNUMBER(Z43)),NOT(ISNUMBER(AA43)),NOT(ISNUMBER(AB43))),"",IF(AND(Y43&gt;=0.3,Y43&lt;=1.2,Z43&lt;=200,AA43&gt;=1E-4,AB43&lt;=1E-6),"PASS","FAIL"))</x:f>
        <x:v>PASS</x:v>
      </x:c>
      <x:c r="AJ43" s="85" t="str"/>
    </x:row>
    <x:row r="44">
      <x:c r="A44" s="85" t="str">
        <x:v>S065-43</x:v>
      </x:c>
      <x:c r="B44" s="85" t="str">
        <x:v>R042</x:v>
      </x:c>
      <x:c r="C44" s="93" t="n">
        <x:v>0.065</x:v>
      </x:c>
      <x:c r="D44" s="93" t="str">
        <x:v>Practical</x:v>
      </x:c>
      <x:c r="E44" s="93" t="n">
        <x:v>1</x:v>
      </x:c>
      <x:c r="F44" s="94" t="n">
        <x:v>10935</x:v>
      </x:c>
      <x:c r="G44" s="93" t="n">
        <x:v>0.5254588788281753</x:v>
      </x:c>
      <x:c r="H44" s="93" t="n">
        <x:v>83.96176562052652</x:v>
      </x:c>
      <x:c r="I44" s="95" t="n">
        <x:v>0.001377265702423308</x:v>
      </x:c>
      <x:c r="J44" s="95" t="n">
        <x:v>1.4746973038742304e-8</x:v>
      </x:c>
      <x:c r="K44" s="95" t="n">
        <x:v>93393.11184776996</x:v>
      </x:c>
      <x:c r="L44" s="95" t="n">
        <x:v>25786667410.934093</x:v>
      </x:c>
      <x:c r="M44" s="95" t="n">
        <x:v>5.567157544785721</x:v>
      </x:c>
      <x:c r="N44" s="95" t="n">
        <x:v>142712734029746.38</x:v>
      </x:c>
      <x:c r="O44" s="95" t="n">
        <x:v>8.804025076041844</x:v>
      </x:c>
      <x:c r="P44" s="93" t="n">
        <x:v>0.1304235461414984</x:v>
      </x:c>
      <x:c r="Q44" s="95" t="n">
        <x:v>18814316606731.684</x:v>
      </x:c>
      <x:c r="R44" s="95" t="n">
        <x:v>7.578648466957405</x:v>
      </x:c>
      <x:c r="S44" s="97" t="n">
        <x:v>0.9866666666666667</x:v>
      </x:c>
      <x:c r="T44" s="93" t="n">
        <x:v>0.5215033333333335</x:v>
      </x:c>
      <x:c r="U44" s="98" t="n">
        <x:v>83.80896827870431</x:v>
      </x:c>
      <x:c r="V44" s="95" t="n">
        <x:v>0.0014852484591867823</x:v>
      </x:c>
      <x:c r="W44" s="95" t="n">
        <x:v>1.4568669710423538e-8</x:v>
      </x:c>
      <x:c r="X44" s="95" t="n">
        <x:v>101948.11803057916</x:v>
      </x:c>
      <x:c r="Y44" s="99" t="n">
        <x:f>IFERROR(IF(ISBLANK(INDEX('Short_TCAD'!$K$2:$K$100,MATCH(B44,'Short_TCAD'!$A$2:$A$100,0))),"",INDEX('Short_TCAD'!$K$2:$K$100,MATCH(B44,'Short_TCAD'!$A$2:$A$100,0))),"")</x:f>
        <x:v>0.6</x:v>
      </x:c>
      <x:c r="Z44" s="100" t="n">
        <x:f>IFERROR(IF(ISBLANK(INDEX('Short_TCAD'!$L$2:$L$100,MATCH(B44,'Short_TCAD'!$A$2:$A$100,0))),"",INDEX('Short_TCAD'!$L$2:$L$100,MATCH(B44,'Short_TCAD'!$A$2:$A$100,0))),"")</x:f>
        <x:v>75.973</x:v>
      </x:c>
      <x:c r="AA44" s="96" t="n">
        <x:f>IFERROR(IF(ISBLANK(INDEX('Short_TCAD'!$M$2:$M$100,MATCH(B44,'Short_TCAD'!$A$2:$A$100,0))),"",INDEX('Short_TCAD'!$M$2:$M$100,MATCH(B44,'Short_TCAD'!$A$2:$A$100,0))),"")</x:f>
        <x:v>0.001573</x:v>
      </x:c>
      <x:c r="AB44" s="96" t="n">
        <x:f>IFERROR(IF(ISBLANK(INDEX('Short_TCAD'!$N$2:$N$100,MATCH(B44,'Short_TCAD'!$A$2:$A$100,0))),"",INDEX('Short_TCAD'!$N$2:$N$100,MATCH(B44,'Short_TCAD'!$A$2:$A$100,0))),"")</x:f>
        <x:v>4.476e-12</x:v>
      </x:c>
      <x:c r="AC44" s="95" t="n">
        <x:f>IF(OR(NOT(ISNUMBER(AA44)),NOT(ISNUMBER(AB44))),"",AA44/AB44)</x:f>
        <x:v>351429848.07864165</x:v>
      </x:c>
      <x:c r="AD44" s="93" t="n">
        <x:f>IF(NOT(ISNUMBER(Y44)),"",ABS(Y44-T44)*1000)</x:f>
        <x:v>78.49666666666644</x:v>
      </x:c>
      <x:c r="AE44" s="93" t="n">
        <x:f>IF(NOT(ISNUMBER(Z44)),"",ABS(Z44-U44))</x:f>
        <x:v>7.835968278704314</x:v>
      </x:c>
      <x:c r="AF44" s="93" t="n">
        <x:f>IF(NOT(ISNUMBER(AA44)),"",ABS(LOG10(AA44)-LOG10(V44)))</x:f>
        <x:v>0.024929612116239674</x:v>
      </x:c>
      <x:c r="AG44" s="93" t="n">
        <x:f>IF(NOT(ISNUMBER(AB44)),"",ABS(LOG10(AB44)-LOG10(W44)))</x:f>
        <x:v>3.5125298195692407</x:v>
      </x:c>
      <x:c r="AH44" s="93" t="n">
        <x:f>IF(NOT(ISNUMBER(AC44)),"",ABS(LOG10(AC44)-LOG10(X44)))</x:f>
        <x:v>3.53745943168546</x:v>
      </x:c>
      <x:c r="AI44" s="85" t="str">
        <x:f>IF(OR(NOT(ISNUMBER(Y44)),NOT(ISNUMBER(Z44)),NOT(ISNUMBER(AA44)),NOT(ISNUMBER(AB44))),"",IF(AND(Y44&gt;=0.3,Y44&lt;=1.2,Z44&lt;=200,AA44&gt;=1E-4,AB44&lt;=1E-6),"PASS","FAIL"))</x:f>
        <x:v>PASS</x:v>
      </x:c>
      <x:c r="AJ44" s="85" t="str"/>
    </x:row>
    <x:row r="45">
      <x:c r="A45" s="85" t="str">
        <x:v>S065-44</x:v>
      </x:c>
      <x:c r="B45" s="85" t="str">
        <x:v>R043</x:v>
      </x:c>
      <x:c r="C45" s="93" t="n">
        <x:v>0.065</x:v>
      </x:c>
      <x:c r="D45" s="93" t="str">
        <x:v>Practical</x:v>
      </x:c>
      <x:c r="E45" s="93" t="n">
        <x:v>1</x:v>
      </x:c>
      <x:c r="F45" s="94" t="n">
        <x:v>1574</x:v>
      </x:c>
      <x:c r="G45" s="93" t="n">
        <x:v>0.618610058108108</x:v>
      </x:c>
      <x:c r="H45" s="93" t="n">
        <x:v>76.04659277114234</x:v>
      </x:c>
      <x:c r="I45" s="95" t="n">
        <x:v>0.0015516433843270592</x:v>
      </x:c>
      <x:c r="J45" s="95" t="n">
        <x:v>7.265310397709455e-13</x:v>
      </x:c>
      <x:c r="K45" s="95" t="n">
        <x:v>2135687671.1231058</x:v>
      </x:c>
      <x:c r="L45" s="95" t="n">
        <x:v>74894258113.12163</x:v>
      </x:c>
      <x:c r="M45" s="95" t="n">
        <x:v>10.71955670278668</x:v>
      </x:c>
      <x:c r="N45" s="95" t="n">
        <x:v>579981146943867</x:v>
      </x:c>
      <x:c r="O45" s="95" t="n">
        <x:v>8.64140335499664</x:v>
      </x:c>
      <x:c r="P45" s="93" t="n">
        <x:v>0.17457420040979366</x:v>
      </x:c>
      <x:c r="Q45" s="95" t="n">
        <x:v>37057326091642.93</x:v>
      </x:c>
      <x:c r="R45" s="95" t="n">
        <x:v>8.408606013782473</x:v>
      </x:c>
      <x:c r="S45" s="97" t="n">
        <x:v>0.9666666666666667</x:v>
      </x:c>
      <x:c r="T45" s="93" t="n">
        <x:v>0.6194833333333339</x:v>
      </x:c>
      <x:c r="U45" s="98" t="n">
        <x:v>79.45692879764879</x:v>
      </x:c>
      <x:c r="V45" s="95" t="n">
        <x:v>0.0017796795775356711</x:v>
      </x:c>
      <x:c r="W45" s="95" t="n">
        <x:v>6.925539088687571e-13</x:v>
      </x:c>
      <x:c r="X45" s="95" t="n">
        <x:v>2569734362.5461082</x:v>
      </x:c>
      <x:c r="Y45" s="99" t="n">
        <x:f>IFERROR(IF(ISBLANK(INDEX('Short_TCAD'!$K$2:$K$100,MATCH(B45,'Short_TCAD'!$A$2:$A$100,0))),"",INDEX('Short_TCAD'!$K$2:$K$100,MATCH(B45,'Short_TCAD'!$A$2:$A$100,0))),"")</x:f>
        <x:v>0.584</x:v>
      </x:c>
      <x:c r="Z45" s="100" t="n">
        <x:f>IFERROR(IF(ISBLANK(INDEX('Short_TCAD'!$L$2:$L$100,MATCH(B45,'Short_TCAD'!$A$2:$A$100,0))),"",INDEX('Short_TCAD'!$L$2:$L$100,MATCH(B45,'Short_TCAD'!$A$2:$A$100,0))),"")</x:f>
        <x:v>88.484</x:v>
      </x:c>
      <x:c r="AA45" s="96" t="n">
        <x:f>IFERROR(IF(ISBLANK(INDEX('Short_TCAD'!$M$2:$M$100,MATCH(B45,'Short_TCAD'!$A$2:$A$100,0))),"",INDEX('Short_TCAD'!$M$2:$M$100,MATCH(B45,'Short_TCAD'!$A$2:$A$100,0))),"")</x:f>
        <x:v>0.002251</x:v>
      </x:c>
      <x:c r="AB45" s="96" t="n">
        <x:f>IFERROR(IF(ISBLANK(INDEX('Short_TCAD'!$N$2:$N$100,MATCH(B45,'Short_TCAD'!$A$2:$A$100,0))),"",INDEX('Short_TCAD'!$N$2:$N$100,MATCH(B45,'Short_TCAD'!$A$2:$A$100,0))),"")</x:f>
        <x:v>3.025e-9</x:v>
      </x:c>
      <x:c r="AC45" s="95" t="n">
        <x:f>IF(OR(NOT(ISNUMBER(AA45)),NOT(ISNUMBER(AB45))),"",AA45/AB45)</x:f>
        <x:v>744132.2314049586</x:v>
      </x:c>
      <x:c r="AD45" s="93" t="n">
        <x:f>IF(NOT(ISNUMBER(Y45)),"",ABS(Y45-T45)*1000)</x:f>
        <x:v>35.483333333333974</x:v>
      </x:c>
      <x:c r="AE45" s="93" t="n">
        <x:f>IF(NOT(ISNUMBER(Z45)),"",ABS(Z45-U45))</x:f>
        <x:v>9.027071202351209</x:v>
      </x:c>
      <x:c r="AF45" s="93" t="n">
        <x:f>IF(NOT(ISNUMBER(AA45)),"",ABS(LOG10(AA45)-LOG10(V45)))</x:f>
        <x:v>0.10203367821674014</x:v>
      </x:c>
      <x:c r="AG45" s="93" t="n">
        <x:f>IF(NOT(ISNUMBER(AB45)),"",ABS(LOG10(AB45)-LOG10(W45)))</x:f>
        <x:v>3.6402717941573908</x:v>
      </x:c>
      <x:c r="AH45" s="93" t="n">
        <x:f>IF(NOT(ISNUMBER(AC45)),"",ABS(LOG10(AC45)-LOG10(X45)))</x:f>
        <x:v>3.5382381159406906</x:v>
      </x:c>
      <x:c r="AI45" s="85" t="str">
        <x:f>IF(OR(NOT(ISNUMBER(Y45)),NOT(ISNUMBER(Z45)),NOT(ISNUMBER(AA45)),NOT(ISNUMBER(AB45))),"",IF(AND(Y45&gt;=0.3,Y45&lt;=1.2,Z45&lt;=200,AA45&gt;=1E-4,AB45&lt;=1E-6),"PASS","FAIL"))</x:f>
        <x:v>PASS</x:v>
      </x:c>
      <x:c r="AJ45" s="85" t="str"/>
    </x:row>
    <x:row r="46">
      <x:c r="A46" s="85" t="str">
        <x:v>S065-45</x:v>
      </x:c>
      <x:c r="B46" s="85" t="str">
        <x:v>R044</x:v>
      </x:c>
      <x:c r="C46" s="93" t="n">
        <x:v>0.065</x:v>
      </x:c>
      <x:c r="D46" s="93" t="str">
        <x:v>Practical</x:v>
      </x:c>
      <x:c r="E46" s="93" t="n">
        <x:v>1</x:v>
      </x:c>
      <x:c r="F46" s="94" t="n">
        <x:v>5693</x:v>
      </x:c>
      <x:c r="G46" s="93" t="n">
        <x:v>0.5177362838125493</x:v>
      </x:c>
      <x:c r="H46" s="93" t="n">
        <x:v>93.2348344205856</x:v>
      </x:c>
      <x:c r="I46" s="95" t="n">
        <x:v>0.0013677398561798945</x:v>
      </x:c>
      <x:c r="J46" s="95" t="n">
        <x:v>5.762845737157275e-8</x:v>
      </x:c>
      <x:c r="K46" s="95" t="n">
        <x:v>23733.757913405123</x:v>
      </x:c>
      <x:c r="L46" s="95" t="n">
        <x:v>18837085341.45674</x:v>
      </x:c>
      <x:c r="M46" s="95" t="n">
        <x:v>8.310455300756015</x:v>
      </x:c>
      <x:c r="N46" s="95" t="n">
        <x:v>85294472482951</x:v>
      </x:c>
      <x:c r="O46" s="95" t="n">
        <x:v>8.79265124796234</x:v>
      </x:c>
      <x:c r="P46" s="93" t="n">
        <x:v>0.41789767797727656</x:v>
      </x:c>
      <x:c r="Q46" s="95" t="n">
        <x:v>8111095063715.911</x:v>
      </x:c>
      <x:c r="R46" s="95" t="n">
        <x:v>8.776903869884142</x:v>
      </x:c>
      <x:c r="S46" s="97" t="n">
        <x:v>0.99</x:v>
      </x:c>
      <x:c r="T46" s="93" t="n">
        <x:v>0.5179200000000006</x:v>
      </x:c>
      <x:c r="U46" s="98" t="n">
        <x:v>88.61323629239803</x:v>
      </x:c>
      <x:c r="V46" s="95" t="n">
        <x:v>0.0016738532181571361</x:v>
      </x:c>
      <x:c r="W46" s="95" t="n">
        <x:v>6.769758579703562e-8</x:v>
      </x:c>
      <x:c r="X46" s="95" t="n">
        <x:v>24725.449193646604</x:v>
      </x:c>
      <x:c r="Y46" s="99" t="n">
        <x:f>IFERROR(IF(ISBLANK(INDEX('Short_TCAD'!$K$2:$K$100,MATCH(B46,'Short_TCAD'!$A$2:$A$100,0))),"",INDEX('Short_TCAD'!$K$2:$K$100,MATCH(B46,'Short_TCAD'!$A$2:$A$100,0))),"")</x:f>
        <x:v>0.53</x:v>
      </x:c>
      <x:c r="Z46" s="100" t="n">
        <x:f>IFERROR(IF(ISBLANK(INDEX('Short_TCAD'!$L$2:$L$100,MATCH(B46,'Short_TCAD'!$A$2:$A$100,0))),"",INDEX('Short_TCAD'!$L$2:$L$100,MATCH(B46,'Short_TCAD'!$A$2:$A$100,0))),"")</x:f>
        <x:v>85.368</x:v>
      </x:c>
      <x:c r="AA46" s="96" t="n">
        <x:f>IFERROR(IF(ISBLANK(INDEX('Short_TCAD'!$M$2:$M$100,MATCH(B46,'Short_TCAD'!$A$2:$A$100,0))),"",INDEX('Short_TCAD'!$M$2:$M$100,MATCH(B46,'Short_TCAD'!$A$2:$A$100,0))),"")</x:f>
        <x:v>0.001545</x:v>
      </x:c>
      <x:c r="AB46" s="96" t="n">
        <x:f>IFERROR(IF(ISBLANK(INDEX('Short_TCAD'!$N$2:$N$100,MATCH(B46,'Short_TCAD'!$A$2:$A$100,0))),"",INDEX('Short_TCAD'!$N$2:$N$100,MATCH(B46,'Short_TCAD'!$A$2:$A$100,0))),"")</x:f>
        <x:v>1.996e-9</x:v>
      </x:c>
      <x:c r="AC46" s="95" t="n">
        <x:f>IF(OR(NOT(ISNUMBER(AA46)),NOT(ISNUMBER(AB46))),"",AA46/AB46)</x:f>
        <x:v>774048.0961923847</x:v>
      </x:c>
      <x:c r="AD46" s="93" t="n">
        <x:f>IF(NOT(ISNUMBER(Y46)),"",ABS(Y46-T46)*1000)</x:f>
        <x:v>12.079999999999425</x:v>
      </x:c>
      <x:c r="AE46" s="93" t="n">
        <x:f>IF(NOT(ISNUMBER(Z46)),"",ABS(Z46-U46))</x:f>
        <x:v>3.245236292398033</x:v>
      </x:c>
      <x:c r="AF46" s="93" t="n">
        <x:f>IF(NOT(ISNUMBER(AA46)),"",ABS(LOG10(AA46)-LOG10(V46)))</x:f>
        <x:v>0.03478888785379031</x:v>
      </x:c>
      <x:c r="AG46" s="93" t="n">
        <x:f>IF(NOT(ISNUMBER(AB46)),"",ABS(LOG10(AB46)-LOG10(W46)))</x:f>
        <x:v>1.5304126443819408</x:v>
      </x:c>
      <x:c r="AH46" s="93" t="n">
        <x:f>IF(NOT(ISNUMBER(AC46)),"",ABS(LOG10(AC46)-LOG10(X46)))</x:f>
        <x:v>1.4956237565281496</x:v>
      </x:c>
      <x:c r="AI46" s="85" t="str">
        <x:f>IF(OR(NOT(ISNUMBER(Y46)),NOT(ISNUMBER(Z46)),NOT(ISNUMBER(AA46)),NOT(ISNUMBER(AB46))),"",IF(AND(Y46&gt;=0.3,Y46&lt;=1.2,Z46&lt;=200,AA46&gt;=1E-4,AB46&lt;=1E-6),"PASS","FAIL"))</x:f>
        <x:v>PASS</x:v>
      </x:c>
      <x:c r="AJ46" s="85" t="str"/>
    </x:row>
    <x:row r="47">
      <x:c r="A47" s="85" t="str">
        <x:v>S065-46</x:v>
      </x:c>
      <x:c r="B47" s="85" t="str">
        <x:v>R045</x:v>
      </x:c>
      <x:c r="C47" s="93" t="n">
        <x:v>0.065</x:v>
      </x:c>
      <x:c r="D47" s="93" t="str">
        <x:v>Practical</x:v>
      </x:c>
      <x:c r="E47" s="93" t="n">
        <x:v>1</x:v>
      </x:c>
      <x:c r="F47" s="94" t="n">
        <x:v>8275</x:v>
      </x:c>
      <x:c r="G47" s="93" t="n">
        <x:v>0.4927709542457007</x:v>
      </x:c>
      <x:c r="H47" s="93" t="n">
        <x:v>89.70616984680642</x:v>
      </x:c>
      <x:c r="I47" s="95" t="n">
        <x:v>0.001140346632080398</x:v>
      </x:c>
      <x:c r="J47" s="95" t="n">
        <x:v>2.748224355606704e-8</x:v>
      </x:c>
      <x:c r="K47" s="95" t="n">
        <x:v>41493.942434283264</x:v>
      </x:c>
      <x:c r="L47" s="95" t="n">
        <x:v>15075154426.593887</x:v>
      </x:c>
      <x:c r="M47" s="95" t="n">
        <x:v>13.799311060360601</x:v>
      </x:c>
      <x:c r="N47" s="95" t="n">
        <x:v>21808748037562.2</x:v>
      </x:c>
      <x:c r="O47" s="95" t="n">
        <x:v>8.601363094842293</x:v>
      </x:c>
      <x:c r="P47" s="93" t="n">
        <x:v>0.22640561187180952</x:v>
      </x:c>
      <x:c r="Q47" s="95" t="n">
        <x:v>1863722672445.9114</x:v>
      </x:c>
      <x:c r="R47" s="95" t="n">
        <x:v>8.281636741015959</x:v>
      </x:c>
      <x:c r="S47" s="97" t="n">
        <x:v>0.9833333333333333</x:v>
      </x:c>
      <x:c r="T47" s="93" t="n">
        <x:v>0.4768566666666654</x:v>
      </x:c>
      <x:c r="U47" s="98" t="n">
        <x:v>91.6784882120604</x:v>
      </x:c>
      <x:c r="V47" s="95" t="n">
        <x:v>0.0009953794712485946</x:v>
      </x:c>
      <x:c r="W47" s="95" t="n">
        <x:v>2.6251319438956148e-8</x:v>
      </x:c>
      <x:c r="X47" s="95" t="n">
        <x:v>37917.31206361697</x:v>
      </x:c>
      <x:c r="Y47" s="99" t="n">
        <x:f>IFERROR(IF(ISBLANK(INDEX('Short_TCAD'!$K$2:$K$100,MATCH(B47,'Short_TCAD'!$A$2:$A$100,0))),"",INDEX('Short_TCAD'!$K$2:$K$100,MATCH(B47,'Short_TCAD'!$A$2:$A$100,0))),"")</x:f>
        <x:v>0.506</x:v>
      </x:c>
      <x:c r="Z47" s="100" t="n">
        <x:f>IFERROR(IF(ISBLANK(INDEX('Short_TCAD'!$L$2:$L$100,MATCH(B47,'Short_TCAD'!$A$2:$A$100,0))),"",INDEX('Short_TCAD'!$L$2:$L$100,MATCH(B47,'Short_TCAD'!$A$2:$A$100,0))),"")</x:f>
        <x:v>79.579</x:v>
      </x:c>
      <x:c r="AA47" s="96" t="n">
        <x:f>IFERROR(IF(ISBLANK(INDEX('Short_TCAD'!$M$2:$M$100,MATCH(B47,'Short_TCAD'!$A$2:$A$100,0))),"",INDEX('Short_TCAD'!$M$2:$M$100,MATCH(B47,'Short_TCAD'!$A$2:$A$100,0))),"")</x:f>
        <x:v>0.0008143</x:v>
      </x:c>
      <x:c r="AB47" s="96" t="n">
        <x:f>IFERROR(IF(ISBLANK(INDEX('Short_TCAD'!$N$2:$N$100,MATCH(B47,'Short_TCAD'!$A$2:$A$100,0))),"",INDEX('Short_TCAD'!$N$2:$N$100,MATCH(B47,'Short_TCAD'!$A$2:$A$100,0))),"")</x:f>
        <x:v>1.031e-10</x:v>
      </x:c>
      <x:c r="AC47" s="95" t="n">
        <x:f>IF(OR(NOT(ISNUMBER(AA47)),NOT(ISNUMBER(AB47))),"",AA47/AB47)</x:f>
        <x:v>7898157.12900097</x:v>
      </x:c>
      <x:c r="AD47" s="93" t="n">
        <x:f>IF(NOT(ISNUMBER(Y47)),"",ABS(Y47-T47)*1000)</x:f>
        <x:v>29.14333333333463</x:v>
      </x:c>
      <x:c r="AE47" s="93" t="n">
        <x:f>IF(NOT(ISNUMBER(Z47)),"",ABS(Z47-U47))</x:f>
        <x:v>12.099488212060407</x:v>
      </x:c>
      <x:c r="AF47" s="93" t="n">
        <x:f>IF(NOT(ISNUMBER(AA47)),"",ABS(LOG10(AA47)-LOG10(V47)))</x:f>
        <x:v>0.08720424479842004</x:v>
      </x:c>
      <x:c r="AG47" s="93" t="n">
        <x:f>IF(NOT(ISNUMBER(AB47)),"",ABS(LOG10(AB47)-LOG10(W47)))</x:f>
        <x:v>2.4058924714358705</x:v>
      </x:c>
      <x:c r="AH47" s="93" t="n">
        <x:f>IF(NOT(ISNUMBER(AC47)),"",ABS(LOG10(AC47)-LOG10(X47)))</x:f>
        <x:v>2.31868822663745</x:v>
      </x:c>
      <x:c r="AI47" s="85" t="str">
        <x:f>IF(OR(NOT(ISNUMBER(Y47)),NOT(ISNUMBER(Z47)),NOT(ISNUMBER(AA47)),NOT(ISNUMBER(AB47))),"",IF(AND(Y47&gt;=0.3,Y47&lt;=1.2,Z47&lt;=200,AA47&gt;=1E-4,AB47&lt;=1E-6),"PASS","FAIL"))</x:f>
        <x:v>PASS</x:v>
      </x:c>
      <x:c r="AJ47" s="85" t="str"/>
    </x:row>
    <x:row r="48">
      <x:c r="A48" s="85" t="str">
        <x:v>S065-47</x:v>
      </x:c>
      <x:c r="B48" s="85" t="str">
        <x:v>R046</x:v>
      </x:c>
      <x:c r="C48" s="93" t="n">
        <x:v>0.065</x:v>
      </x:c>
      <x:c r="D48" s="93" t="str">
        <x:v>Practical</x:v>
      </x:c>
      <x:c r="E48" s="93" t="n">
        <x:v>1</x:v>
      </x:c>
      <x:c r="F48" s="94" t="n">
        <x:v>1274</x:v>
      </x:c>
      <x:c r="G48" s="93" t="n">
        <x:v>0.7475625345704445</x:v>
      </x:c>
      <x:c r="H48" s="93" t="n">
        <x:v>74.518</x:v>
      </x:c>
      <x:c r="I48" s="95" t="n">
        <x:v>0.001901</x:v>
      </x:c>
      <x:c r="J48" s="95" t="n">
        <x:v>4.200224653295697e-15</x:v>
      </x:c>
      <x:c r="K48" s="95" t="n">
        <x:v>452594838828.05756</x:v>
      </x:c>
      <x:c r="L48" s="95" t="n">
        <x:v>21567366344.931835</x:v>
      </x:c>
      <x:c r="M48" s="95" t="n">
        <x:v>14.899758939228466</x:v>
      </x:c>
      <x:c r="N48" s="95" t="n">
        <x:v>304766807666251.5</x:v>
      </x:c>
      <x:c r="O48" s="95" t="n">
        <x:v>7.931631362550143</x:v>
      </x:c>
      <x:c r="P48" s="93" t="n">
        <x:v>0.34346949423600937</x:v>
      </x:c>
      <x:c r="Q48" s="95" t="n">
        <x:v>51373514219628.06</x:v>
      </x:c>
      <x:c r="R48" s="95" t="n">
        <x:v>7.063308533466082</x:v>
      </x:c>
      <x:c r="S48" s="97" t="n">
        <x:v>0.9766666666666667</x:v>
      </x:c>
      <x:c r="T48" s="93" t="n">
        <x:v>0.7502799999999996</x:v>
      </x:c>
      <x:c r="U48" s="98" t="n">
        <x:v>80.09976381553871</x:v>
      </x:c>
      <x:c r="V48" s="95" t="n">
        <x:v>0.001400864680935607</x:v>
      </x:c>
      <x:c r="W48" s="95" t="n">
        <x:v>6.151653668532399e-15</x:v>
      </x:c>
      <x:c r="X48" s="95" t="n">
        <x:v>227721643060.2166</x:v>
      </x:c>
      <x:c r="Y48" s="99" t="n">
        <x:f>IFERROR(IF(ISBLANK(INDEX('Short_TCAD'!$K$2:$K$100,MATCH(B48,'Short_TCAD'!$A$2:$A$100,0))),"",INDEX('Short_TCAD'!$K$2:$K$100,MATCH(B48,'Short_TCAD'!$A$2:$A$100,0))),"")</x:f>
        <x:v>0.65</x:v>
      </x:c>
      <x:c r="Z48" s="100" t="n">
        <x:f>IFERROR(IF(ISBLANK(INDEX('Short_TCAD'!$L$2:$L$100,MATCH(B48,'Short_TCAD'!$A$2:$A$100,0))),"",INDEX('Short_TCAD'!$L$2:$L$100,MATCH(B48,'Short_TCAD'!$A$2:$A$100,0))),"")</x:f>
        <x:v>78.261</x:v>
      </x:c>
      <x:c r="AA48" s="96" t="n">
        <x:f>IFERROR(IF(ISBLANK(INDEX('Short_TCAD'!$M$2:$M$100,MATCH(B48,'Short_TCAD'!$A$2:$A$100,0))),"",INDEX('Short_TCAD'!$M$2:$M$100,MATCH(B48,'Short_TCAD'!$A$2:$A$100,0))),"")</x:f>
        <x:v>0.002023</x:v>
      </x:c>
      <x:c r="AB48" s="96" t="n">
        <x:f>IFERROR(IF(ISBLANK(INDEX('Short_TCAD'!$N$2:$N$100,MATCH(B48,'Short_TCAD'!$A$2:$A$100,0))),"",INDEX('Short_TCAD'!$N$2:$N$100,MATCH(B48,'Short_TCAD'!$A$2:$A$100,0))),"")</x:f>
        <x:v>3.085e-12</x:v>
      </x:c>
      <x:c r="AC48" s="95" t="n">
        <x:f>IF(OR(NOT(ISNUMBER(AA48)),NOT(ISNUMBER(AB48))),"",AA48/AB48)</x:f>
        <x:v>655753646.6774716</x:v>
      </x:c>
      <x:c r="AD48" s="93" t="n">
        <x:f>IF(NOT(ISNUMBER(Y48)),"",ABS(Y48-T48)*1000)</x:f>
        <x:v>100.27999999999959</x:v>
      </x:c>
      <x:c r="AE48" s="93" t="n">
        <x:f>IF(NOT(ISNUMBER(Z48)),"",ABS(Z48-U48))</x:f>
        <x:v>1.8387638155387123</x:v>
      </x:c>
      <x:c r="AF48" s="93" t="n">
        <x:f>IF(NOT(ISNUMBER(AA48)),"",ABS(LOG10(AA48)-LOG10(V48)))</x:f>
        <x:v>0.15959969692205966</x:v>
      </x:c>
      <x:c r="AG48" s="93" t="n">
        <x:f>IF(NOT(ISNUMBER(AB48)),"",ABS(LOG10(AB48)-LOG10(W48)))</x:f>
        <x:v>2.7002632911987003</x:v>
      </x:c>
      <x:c r="AH48" s="93" t="n">
        <x:f>IF(NOT(ISNUMBER(AC48)),"",ABS(LOG10(AC48)-LOG10(X48)))</x:f>
        <x:v>2.5406635942765607</x:v>
      </x:c>
      <x:c r="AI48" s="85" t="str">
        <x:f>IF(OR(NOT(ISNUMBER(Y48)),NOT(ISNUMBER(Z48)),NOT(ISNUMBER(AA48)),NOT(ISNUMBER(AB48))),"",IF(AND(Y48&gt;=0.3,Y48&lt;=1.2,Z48&lt;=200,AA48&gt;=1E-4,AB48&lt;=1E-6),"PASS","FAIL"))</x:f>
        <x:v>PASS</x:v>
      </x:c>
      <x:c r="AJ48" s="85" t="str"/>
    </x:row>
    <x:row r="49">
      <x:c r="A49" s="85" t="str">
        <x:v>S065-48</x:v>
      </x:c>
      <x:c r="B49" s="85" t="str">
        <x:v>R047</x:v>
      </x:c>
      <x:c r="C49" s="93" t="n">
        <x:v>0.065</x:v>
      </x:c>
      <x:c r="D49" s="93" t="str">
        <x:v>Practical</x:v>
      </x:c>
      <x:c r="E49" s="93" t="n">
        <x:v>1</x:v>
      </x:c>
      <x:c r="F49" s="94" t="n">
        <x:v>6650</x:v>
      </x:c>
      <x:c r="G49" s="93" t="n">
        <x:v>0.5465250281202869</x:v>
      </x:c>
      <x:c r="H49" s="93" t="n">
        <x:v>101.22928211410206</x:v>
      </x:c>
      <x:c r="I49" s="95" t="n">
        <x:v>0.0016891112465143084</x:v>
      </x:c>
      <x:c r="J49" s="95" t="n">
        <x:v>2.823363713802555e-8</x:v>
      </x:c>
      <x:c r="K49" s="95" t="n">
        <x:v>59826.200863061465</x:v>
      </x:c>
      <x:c r="L49" s="95" t="n">
        <x:v>83016727277.16496</x:v>
      </x:c>
      <x:c r="M49" s="95" t="n">
        <x:v>5.652063273042551</x:v>
      </x:c>
      <x:c r="N49" s="95" t="n">
        <x:v>137219543715338.45</x:v>
      </x:c>
      <x:c r="O49" s="95" t="n">
        <x:v>7.709942510178917</x:v>
      </x:c>
      <x:c r="P49" s="93" t="n">
        <x:v>0.44555504613819663</x:v>
      </x:c>
      <x:c r="Q49" s="95" t="n">
        <x:v>14886402466766.031</x:v>
      </x:c>
      <x:c r="R49" s="95" t="n">
        <x:v>3.4014644320474745</x:v>
      </x:c>
      <x:c r="S49" s="97" t="n">
        <x:v>0.97</x:v>
      </x:c>
      <x:c r="T49" s="93" t="n">
        <x:v>0.5369066666666665</x:v>
      </x:c>
      <x:c r="U49" s="98" t="n">
        <x:v>100.4285603880098</x:v>
      </x:c>
      <x:c r="V49" s="95" t="n">
        <x:v>0.0014664296272095126</x:v>
      </x:c>
      <x:c r="W49" s="95" t="n">
        <x:v>2.924884996129795e-8</x:v>
      </x:c>
      <x:c r="X49" s="95" t="n">
        <x:v>50136.31746717874</x:v>
      </x:c>
      <x:c r="Y49" s="99" t="n">
        <x:f>IFERROR(IF(ISBLANK(INDEX('Short_TCAD'!$K$2:$K$100,MATCH(B49,'Short_TCAD'!$A$2:$A$100,0))),"",INDEX('Short_TCAD'!$K$2:$K$100,MATCH(B49,'Short_TCAD'!$A$2:$A$100,0))),"")</x:f>
        <x:v>0.539</x:v>
      </x:c>
      <x:c r="Z49" s="100" t="n">
        <x:f>IFERROR(IF(ISBLANK(INDEX('Short_TCAD'!$L$2:$L$100,MATCH(B49,'Short_TCAD'!$A$2:$A$100,0))),"",INDEX('Short_TCAD'!$L$2:$L$100,MATCH(B49,'Short_TCAD'!$A$2:$A$100,0))),"")</x:f>
        <x:v>119.781</x:v>
      </x:c>
      <x:c r="AA49" s="96" t="n">
        <x:f>IFERROR(IF(ISBLANK(INDEX('Short_TCAD'!$M$2:$M$100,MATCH(B49,'Short_TCAD'!$A$2:$A$100,0))),"",INDEX('Short_TCAD'!$M$2:$M$100,MATCH(B49,'Short_TCAD'!$A$2:$A$100,0))),"")</x:f>
        <x:v>0.001629</x:v>
      </x:c>
      <x:c r="AB49" s="96" t="n">
        <x:f>IFERROR(IF(ISBLANK(INDEX('Short_TCAD'!$N$2:$N$100,MATCH(B49,'Short_TCAD'!$A$2:$A$100,0))),"",INDEX('Short_TCAD'!$N$2:$N$100,MATCH(B49,'Short_TCAD'!$A$2:$A$100,0))),"")</x:f>
        <x:v>3.045e-7</x:v>
      </x:c>
      <x:c r="AC49" s="95" t="n">
        <x:f>IF(OR(NOT(ISNUMBER(AA49)),NOT(ISNUMBER(AB49))),"",AA49/AB49)</x:f>
        <x:v>5349.753694581281</x:v>
      </x:c>
      <x:c r="AD49" s="93" t="n">
        <x:f>IF(NOT(ISNUMBER(Y49)),"",ABS(Y49-T49)*1000)</x:f>
        <x:v>2.0933333333335025</x:v>
      </x:c>
      <x:c r="AE49" s="93" t="n">
        <x:f>IF(NOT(ISNUMBER(Z49)),"",ABS(Z49-U49))</x:f>
        <x:v>19.352439611990206</x:v>
      </x:c>
      <x:c r="AF49" s="93" t="n">
        <x:f>IF(NOT(ISNUMBER(AA49)),"",ABS(LOG10(AA49)-LOG10(V49)))</x:f>
        <x:v>0.04565985793835026</x:v>
      </x:c>
      <x:c r="AG49" s="93" t="n">
        <x:f>IF(NOT(ISNUMBER(AB49)),"",ABS(LOG10(AB49)-LOG10(W49)))</x:f>
        <x:v>1.0174785022868003</x:v>
      </x:c>
      <x:c r="AH49" s="93" t="n">
        <x:f>IF(NOT(ISNUMBER(AC49)),"",ABS(LOG10(AC49)-LOG10(X49)))</x:f>
        <x:v>0.9718186443484602</x:v>
      </x:c>
      <x:c r="AI49" s="85" t="str">
        <x:f>IF(OR(NOT(ISNUMBER(Y49)),NOT(ISNUMBER(Z49)),NOT(ISNUMBER(AA49)),NOT(ISNUMBER(AB49))),"",IF(AND(Y49&gt;=0.3,Y49&lt;=1.2,Z49&lt;=200,AA49&gt;=1E-4,AB49&lt;=1E-6),"PASS","FAIL"))</x:f>
        <x:v>PASS</x:v>
      </x:c>
      <x:c r="AJ49" s="85" t="str"/>
    </x:row>
    <x:row r="50">
      <x:c r="A50" s="85" t="str">
        <x:v>S065-49</x:v>
      </x:c>
      <x:c r="B50" s="85" t="str">
        <x:v>R048</x:v>
      </x:c>
      <x:c r="C50" s="93" t="n">
        <x:v>0.065</x:v>
      </x:c>
      <x:c r="D50" s="93" t="str">
        <x:v>Practical</x:v>
      </x:c>
      <x:c r="E50" s="93" t="n">
        <x:v>1</x:v>
      </x:c>
      <x:c r="F50" s="94" t="n">
        <x:v>6588</x:v>
      </x:c>
      <x:c r="G50" s="93" t="n">
        <x:v>0.5357851649329383</x:v>
      </x:c>
      <x:c r="H50" s="93" t="n">
        <x:v>88.90002512825491</x:v>
      </x:c>
      <x:c r="I50" s="95" t="n">
        <x:v>0.0008884366839201264</x:v>
      </x:c>
      <x:c r="J50" s="95" t="n">
        <x:v>1.1532692187342728e-9</x:v>
      </x:c>
      <x:c r="K50" s="95" t="n">
        <x:v>770363.6492571931</x:v>
      </x:c>
      <x:c r="L50" s="95" t="n">
        <x:v>83454131115.25479</x:v>
      </x:c>
      <x:c r="M50" s="95" t="n">
        <x:v>13.257865175164564</x:v>
      </x:c>
      <x:c r="N50" s="95" t="n">
        <x:v>52516733834854.766</x:v>
      </x:c>
      <x:c r="O50" s="95" t="n">
        <x:v>8.757134222775282</x:v>
      </x:c>
      <x:c r="P50" s="93" t="n">
        <x:v>0.17590962392837683</x:v>
      </x:c>
      <x:c r="Q50" s="95" t="n">
        <x:v>19569749566554.395</x:v>
      </x:c>
      <x:c r="R50" s="95" t="n">
        <x:v>4.574254025931237</x:v>
      </x:c>
      <x:c r="S50" s="97" t="n">
        <x:v>0.8066666666666666</x:v>
      </x:c>
      <x:c r="T50" s="93" t="n">
        <x:v>0.5380599999999987</x:v>
      </x:c>
      <x:c r="U50" s="98" t="n">
        <x:v>93.69705317633316</x:v>
      </x:c>
      <x:c r="V50" s="95" t="n">
        <x:v>0.0008146519149417867</x:v>
      </x:c>
      <x:c r="W50" s="95" t="n">
        <x:v>1.0480249427235517e-9</x:v>
      </x:c>
      <x:c r="X50" s="95" t="n">
        <x:v>777321.1130115973</x:v>
      </x:c>
      <x:c r="Y50" s="99" t="n">
        <x:f>IFERROR(IF(ISBLANK(INDEX('Short_TCAD'!$K$2:$K$100,MATCH(B50,'Short_TCAD'!$A$2:$A$100,0))),"",INDEX('Short_TCAD'!$K$2:$K$100,MATCH(B50,'Short_TCAD'!$A$2:$A$100,0))),"")</x:f>
        <x:v>0.84</x:v>
      </x:c>
      <x:c r="Z50" s="100" t="n">
        <x:f>IFERROR(IF(ISBLANK(INDEX('Short_TCAD'!$L$2:$L$100,MATCH(B50,'Short_TCAD'!$A$2:$A$100,0))),"",INDEX('Short_TCAD'!$L$2:$L$100,MATCH(B50,'Short_TCAD'!$A$2:$A$100,0))),"")</x:f>
        <x:v>77.372</x:v>
      </x:c>
      <x:c r="AA50" s="96" t="n">
        <x:f>IFERROR(IF(ISBLANK(INDEX('Short_TCAD'!$M$2:$M$100,MATCH(B50,'Short_TCAD'!$A$2:$A$100,0))),"",INDEX('Short_TCAD'!$M$2:$M$100,MATCH(B50,'Short_TCAD'!$A$2:$A$100,0))),"")</x:f>
        <x:v>0.0005044</x:v>
      </x:c>
      <x:c r="AB50" s="96" t="n">
        <x:f>IFERROR(IF(ISBLANK(INDEX('Short_TCAD'!$N$2:$N$100,MATCH(B50,'Short_TCAD'!$A$2:$A$100,0))),"",INDEX('Short_TCAD'!$N$2:$N$100,MATCH(B50,'Short_TCAD'!$A$2:$A$100,0))),"")</x:f>
        <x:v>2.389e-15</x:v>
      </x:c>
      <x:c r="AC50" s="95" t="n">
        <x:f>IF(OR(NOT(ISNUMBER(AA50)),NOT(ISNUMBER(AB50))),"",AA50/AB50)</x:f>
        <x:v>211134365843.44916</x:v>
      </x:c>
      <x:c r="AD50" s="93" t="n">
        <x:f>IF(NOT(ISNUMBER(Y50)),"",ABS(Y50-T50)*1000)</x:f>
        <x:v>301.9400000000013</x:v>
      </x:c>
      <x:c r="AE50" s="93" t="n">
        <x:f>IF(NOT(ISNUMBER(Z50)),"",ABS(Z50-U50))</x:f>
        <x:v>16.325053176333157</x:v>
      </x:c>
      <x:c r="AF50" s="93" t="n">
        <x:f>IF(NOT(ISNUMBER(AA50)),"",ABS(LOG10(AA50)-LOG10(V50)))</x:f>
        <x:v>0.20819700481226988</x:v>
      </x:c>
      <x:c r="AG50" s="93" t="n">
        <x:f>IF(NOT(ISNUMBER(AB50)),"",ABS(LOG10(AB50)-LOG10(W50)))</x:f>
        <x:v>5.64215546911756</x:v>
      </x:c>
      <x:c r="AH50" s="93" t="n">
        <x:f>IF(NOT(ISNUMBER(AC50)),"",ABS(LOG10(AC50)-LOG10(X50)))</x:f>
        <x:v>5.43395846430535</x:v>
      </x:c>
      <x:c r="AI50" s="85" t="str">
        <x:f>IF(OR(NOT(ISNUMBER(Y50)),NOT(ISNUMBER(Z50)),NOT(ISNUMBER(AA50)),NOT(ISNUMBER(AB50))),"",IF(AND(Y50&gt;=0.3,Y50&lt;=1.2,Z50&lt;=200,AA50&gt;=1E-4,AB50&lt;=1E-6),"PASS","FAIL"))</x:f>
        <x:v>PASS</x:v>
      </x:c>
      <x:c r="AJ50" s="85" t="str"/>
    </x:row>
    <x:row r="51">
      <x:c r="A51" s="85" t="str">
        <x:v>S065-50</x:v>
      </x:c>
      <x:c r="B51" s="85" t="str">
        <x:v>R049</x:v>
      </x:c>
      <x:c r="C51" s="93" t="n">
        <x:v>0.065</x:v>
      </x:c>
      <x:c r="D51" s="93" t="str">
        <x:v>Practical</x:v>
      </x:c>
      <x:c r="E51" s="93" t="n">
        <x:v>1</x:v>
      </x:c>
      <x:c r="F51" s="94" t="n">
        <x:v>3138</x:v>
      </x:c>
      <x:c r="G51" s="93" t="n">
        <x:v>0.5216856899446539</x:v>
      </x:c>
      <x:c r="H51" s="93" t="n">
        <x:v>79.65579255877421</x:v>
      </x:c>
      <x:c r="I51" s="95" t="n">
        <x:v>0.001010374634701883</x:v>
      </x:c>
      <x:c r="J51" s="95" t="n">
        <x:v>3.081702827131014e-10</x:v>
      </x:c>
      <x:c r="K51" s="95" t="n">
        <x:v>3278624.4858090864</x:v>
      </x:c>
      <x:c r="L51" s="95" t="n">
        <x:v>14319279437.532843</x:v>
      </x:c>
      <x:c r="M51" s="95" t="n">
        <x:v>14.485047200746381</x:v>
      </x:c>
      <x:c r="N51" s="95" t="n">
        <x:v>23114993661886.93</x:v>
      </x:c>
      <x:c r="O51" s="95" t="n">
        <x:v>7.5468600826147005</x:v>
      </x:c>
      <x:c r="P51" s="93" t="n">
        <x:v>0.23380978020526008</x:v>
      </x:c>
      <x:c r="Q51" s="95" t="n">
        <x:v>1052087028312.2545</x:v>
      </x:c>
      <x:c r="R51" s="95" t="n">
        <x:v>8.546484450603968</x:v>
      </x:c>
      <x:c r="S51" s="97" t="n">
        <x:v>0.9933333333333333</x:v>
      </x:c>
      <x:c r="T51" s="93" t="n">
        <x:v>0.5109533333333353</x:v>
      </x:c>
      <x:c r="U51" s="98" t="n">
        <x:v>81.65542973382057</x:v>
      </x:c>
      <x:c r="V51" s="95" t="n">
        <x:v>0.0010201045866455537</x:v>
      </x:c>
      <x:c r="W51" s="95" t="n">
        <x:v>3.5833253089478323e-10</x:v>
      </x:c>
      <x:c r="X51" s="95" t="n">
        <x:v>2846809.872657322</x:v>
      </x:c>
      <x:c r="Y51" s="99" t="n">
        <x:f>IFERROR(IF(ISBLANK(INDEX('Short_TCAD'!$K$2:$K$100,MATCH(B51,'Short_TCAD'!$A$2:$A$100,0))),"",INDEX('Short_TCAD'!$K$2:$K$100,MATCH(B51,'Short_TCAD'!$A$2:$A$100,0))),"")</x:f>
        <x:v>0.504</x:v>
      </x:c>
      <x:c r="Z51" s="100" t="n">
        <x:f>IFERROR(IF(ISBLANK(INDEX('Short_TCAD'!$L$2:$L$100,MATCH(B51,'Short_TCAD'!$A$2:$A$100,0))),"",INDEX('Short_TCAD'!$L$2:$L$100,MATCH(B51,'Short_TCAD'!$A$2:$A$100,0))),"")</x:f>
        <x:v>80.865</x:v>
      </x:c>
      <x:c r="AA51" s="96" t="n">
        <x:f>IFERROR(IF(ISBLANK(INDEX('Short_TCAD'!$M$2:$M$100,MATCH(B51,'Short_TCAD'!$A$2:$A$100,0))),"",INDEX('Short_TCAD'!$M$2:$M$100,MATCH(B51,'Short_TCAD'!$A$2:$A$100,0))),"")</x:f>
        <x:v>0.0008989</x:v>
      </x:c>
      <x:c r="AB51" s="96" t="n">
        <x:f>IFERROR(IF(ISBLANK(INDEX('Short_TCAD'!$N$2:$N$100,MATCH(B51,'Short_TCAD'!$A$2:$A$100,0))),"",INDEX('Short_TCAD'!$N$2:$N$100,MATCH(B51,'Short_TCAD'!$A$2:$A$100,0))),"")</x:f>
        <x:v>1.649e-10</x:v>
      </x:c>
      <x:c r="AC51" s="95" t="n">
        <x:f>IF(OR(NOT(ISNUMBER(AA51)),NOT(ISNUMBER(AB51))),"",AA51/AB51)</x:f>
        <x:v>5451182.534869618</x:v>
      </x:c>
      <x:c r="AD51" s="93" t="n">
        <x:f>IF(NOT(ISNUMBER(Y51)),"",ABS(Y51-T51)*1000)</x:f>
        <x:v>6.953333333335254</x:v>
      </x:c>
      <x:c r="AE51" s="93" t="n">
        <x:f>IF(NOT(ISNUMBER(Z51)),"",ABS(Z51-U51))</x:f>
        <x:v>0.7904297338205737</x:v>
      </x:c>
      <x:c r="AF51" s="93" t="n">
        <x:f>IF(NOT(ISNUMBER(AA51)),"",ABS(LOG10(AA51)-LOG10(V51)))</x:f>
        <x:v>0.054933319838810224</x:v>
      </x:c>
      <x:c r="AG51" s="93" t="n">
        <x:f>IF(NOT(ISNUMBER(AB51)),"",ABS(LOG10(AB51)-LOG10(W51)))</x:f>
        <x:v>0.3370655813431913</x:v>
      </x:c>
      <x:c r="AH51" s="93" t="n">
        <x:f>IF(NOT(ISNUMBER(AC51)),"",ABS(LOG10(AC51)-LOG10(X51)))</x:f>
        <x:v>0.28213226150437976</x:v>
      </x:c>
      <x:c r="AI51" s="85" t="str">
        <x:f>IF(OR(NOT(ISNUMBER(Y51)),NOT(ISNUMBER(Z51)),NOT(ISNUMBER(AA51)),NOT(ISNUMBER(AB51))),"",IF(AND(Y51&gt;=0.3,Y51&lt;=1.2,Z51&lt;=200,AA51&gt;=1E-4,AB51&lt;=1E-6),"PASS","FAIL"))</x:f>
        <x:v>PASS</x:v>
      </x:c>
      <x:c r="AJ51" s="85" t="str"/>
    </x:row>
    <x:row r="52">
      <x:c r="A52" s="85" t="str">
        <x:v>S090-01</x:v>
      </x:c>
      <x:c r="B52" s="85" t="str">
        <x:v>R050</x:v>
      </x:c>
      <x:c r="C52" s="93" t="n">
        <x:v>0.09</x:v>
      </x:c>
      <x:c r="D52" s="93" t="str">
        <x:v>Practical</x:v>
      </x:c>
      <x:c r="E52" s="93" t="n">
        <x:v>1</x:v>
      </x:c>
      <x:c r="F52" s="94" t="n">
        <x:v>33140</x:v>
      </x:c>
      <x:c r="G52" s="93" t="n">
        <x:v>0.5269021765427415</x:v>
      </x:c>
      <x:c r="H52" s="93" t="n">
        <x:v>84.15821601808175</x:v>
      </x:c>
      <x:c r="I52" s="95" t="n">
        <x:v>0.0011340887344644006</x:v>
      </x:c>
      <x:c r="J52" s="95" t="n">
        <x:v>1.207522679736289e-9</x:v>
      </x:c>
      <x:c r="K52" s="95" t="n">
        <x:v>939186.2807182011</x:v>
      </x:c>
      <x:c r="L52" s="95" t="n">
        <x:v>55419601279.35985</x:v>
      </x:c>
      <x:c r="M52" s="95" t="n">
        <x:v>13.275092531436195</x:v>
      </x:c>
      <x:c r="N52" s="95" t="n">
        <x:v>78217853153859.7</x:v>
      </x:c>
      <x:c r="O52" s="95" t="n">
        <x:v>10.584139463886826</x:v>
      </x:c>
      <x:c r="P52" s="93" t="n">
        <x:v>0.12349573666972075</x:v>
      </x:c>
      <x:c r="Q52" s="95" t="n">
        <x:v>1103706598255.0989</x:v>
      </x:c>
      <x:c r="R52" s="95" t="n">
        <x:v>7.1826120518378636</x:v>
      </x:c>
      <x:c r="S52" s="97" t="n">
        <x:v>0.9966666666666667</x:v>
      </x:c>
      <x:c r="T52" s="93" t="n">
        <x:v>0.5130000000000029</x:v>
      </x:c>
      <x:c r="U52" s="98" t="n">
        <x:v>84.35373615218192</x:v>
      </x:c>
      <x:c r="V52" s="95" t="n">
        <x:v>0.0011464495545596804</x:v>
      </x:c>
      <x:c r="W52" s="95" t="n">
        <x:v>1.2037722374333377e-9</x:v>
      </x:c>
      <x:c r="X52" s="95" t="n">
        <x:v>952380.7900771331</x:v>
      </x:c>
      <x:c r="Y52" s="99" t="n">
        <x:f>IFERROR(IF(ISBLANK(INDEX('Short_TCAD'!$K$2:$K$100,MATCH(B52,'Short_TCAD'!$A$2:$A$100,0))),"",INDEX('Short_TCAD'!$K$2:$K$100,MATCH(B52,'Short_TCAD'!$A$2:$A$100,0))),"")</x:f>
        <x:v>0.516</x:v>
      </x:c>
      <x:c r="Z52" s="100" t="n">
        <x:f>IFERROR(IF(ISBLANK(INDEX('Short_TCAD'!$L$2:$L$100,MATCH(B52,'Short_TCAD'!$A$2:$A$100,0))),"",INDEX('Short_TCAD'!$L$2:$L$100,MATCH(B52,'Short_TCAD'!$A$2:$A$100,0))),"")</x:f>
        <x:v>82.989</x:v>
      </x:c>
      <x:c r="AA52" s="96" t="n">
        <x:f>IFERROR(IF(ISBLANK(INDEX('Short_TCAD'!$M$2:$M$100,MATCH(B52,'Short_TCAD'!$A$2:$A$100,0))),"",INDEX('Short_TCAD'!$M$2:$M$100,MATCH(B52,'Short_TCAD'!$A$2:$A$100,0))),"")</x:f>
        <x:v>0.001067</x:v>
      </x:c>
      <x:c r="AB52" s="96" t="n">
        <x:f>IFERROR(IF(ISBLANK(INDEX('Short_TCAD'!$N$2:$N$100,MATCH(B52,'Short_TCAD'!$A$2:$A$100,0))),"",INDEX('Short_TCAD'!$N$2:$N$100,MATCH(B52,'Short_TCAD'!$A$2:$A$100,0))),"")</x:f>
        <x:v>7.8e-10</x:v>
      </x:c>
      <x:c r="AC52" s="95" t="n">
        <x:f>IF(OR(NOT(ISNUMBER(AA52)),NOT(ISNUMBER(AB52))),"",AA52/AB52)</x:f>
        <x:v>1367948.717948718</x:v>
      </x:c>
      <x:c r="AD52" s="93" t="n">
        <x:f>IF(NOT(ISNUMBER(Y52)),"",ABS(Y52-T52)*1000)</x:f>
        <x:v>2.999999999997116</x:v>
      </x:c>
      <x:c r="AE52" s="93" t="n">
        <x:f>IF(NOT(ISNUMBER(Z52)),"",ABS(Z52-U52))</x:f>
        <x:v>1.3647361521819192</x:v>
      </x:c>
      <x:c r="AF52" s="93" t="n">
        <x:f>IF(NOT(ISNUMBER(AA52)),"",ABS(LOG10(AA52)-LOG10(V52)))</x:f>
        <x:v>0.031190530475889933</x:v>
      </x:c>
      <x:c r="AG52" s="93" t="n">
        <x:f>IF(NOT(ISNUMBER(AB52)),"",ABS(LOG10(AB52)-LOG10(W52)))</x:f>
        <x:v>0.18844972029185847</x:v>
      </x:c>
      <x:c r="AH52" s="93" t="n">
        <x:f>IF(NOT(ISNUMBER(AC52)),"",ABS(LOG10(AC52)-LOG10(X52)))</x:f>
        <x:v>0.15725918981596987</x:v>
      </x:c>
      <x:c r="AI52" s="85" t="str">
        <x:f>IF(OR(NOT(ISNUMBER(Y52)),NOT(ISNUMBER(Z52)),NOT(ISNUMBER(AA52)),NOT(ISNUMBER(AB52))),"",IF(AND(Y52&gt;=0.3,Y52&lt;=1.2,Z52&lt;=200,AA52&gt;=1E-4,AB52&lt;=1E-6),"PASS","FAIL"))</x:f>
        <x:v>PASS</x:v>
      </x:c>
      <x:c r="AJ52" s="85" t="str"/>
    </x:row>
    <x:row r="53">
      <x:c r="A53" s="85" t="str">
        <x:v>S090-02</x:v>
      </x:c>
      <x:c r="B53" s="85" t="str">
        <x:v>R051</x:v>
      </x:c>
      <x:c r="C53" s="93" t="n">
        <x:v>0.09</x:v>
      </x:c>
      <x:c r="D53" s="93" t="str">
        <x:v>Practical</x:v>
      </x:c>
      <x:c r="E53" s="93" t="n">
        <x:v>1</x:v>
      </x:c>
      <x:c r="F53" s="94" t="n">
        <x:v>320</x:v>
      </x:c>
      <x:c r="G53" s="93" t="n">
        <x:v>1.0437908840635344</x:v>
      </x:c>
      <x:c r="H53" s="93" t="n">
        <x:v>92.24309399460478</x:v>
      </x:c>
      <x:c r="I53" s="95" t="n">
        <x:v>0.00028245419527599705</x:v>
      </x:c>
      <x:c r="J53" s="95" t="n">
        <x:v>6.778852076737289e-13</x:v>
      </x:c>
      <x:c r="K53" s="95" t="n">
        <x:v>416669654.5057881</x:v>
      </x:c>
      <x:c r="L53" s="95" t="n">
        <x:v>44454332335.62349</x:v>
      </x:c>
      <x:c r="M53" s="95" t="n">
        <x:v>13.770289348943304</x:v>
      </x:c>
      <x:c r="N53" s="95" t="n">
        <x:v>67011366612888.055</x:v>
      </x:c>
      <x:c r="O53" s="95" t="n">
        <x:v>9.696202405338173</x:v>
      </x:c>
      <x:c r="P53" s="93" t="n">
        <x:v>0.4196949470937441</x:v>
      </x:c>
      <x:c r="Q53" s="95" t="n">
        <x:v>16142340426668.885</x:v>
      </x:c>
      <x:c r="R53" s="95" t="n">
        <x:v>3.0852174976330735</x:v>
      </x:c>
      <x:c r="S53" s="97" t="n">
        <x:v>0.8166666666666667</x:v>
      </x:c>
      <x:c r="T53" s="93" t="n">
        <x:v>1.0514400000000033</x:v>
      </x:c>
      <x:c r="U53" s="98" t="n">
        <x:v>91.13501742960348</x:v>
      </x:c>
      <x:c r="V53" s="95" t="n">
        <x:v>0.0002686856728519189</x:v>
      </x:c>
      <x:c r="W53" s="95" t="n">
        <x:v>7.226790178771475e-13</x:v>
      </x:c>
      <x:c r="X53" s="95" t="n">
        <x:v>371791163.44234914</x:v>
      </x:c>
      <x:c r="Y53" s="99" t="n">
        <x:f>IFERROR(IF(ISBLANK(INDEX('Short_TCAD'!$K$2:$K$100,MATCH(B53,'Short_TCAD'!$A$2:$A$100,0))),"",INDEX('Short_TCAD'!$K$2:$K$100,MATCH(B53,'Short_TCAD'!$A$2:$A$100,0))),"")</x:f>
        <x:v>1.551</x:v>
      </x:c>
      <x:c r="Z53" s="100" t="n">
        <x:f>IFERROR(IF(ISBLANK(INDEX('Short_TCAD'!$L$2:$L$100,MATCH(B53,'Short_TCAD'!$A$2:$A$100,0))),"",INDEX('Short_TCAD'!$L$2:$L$100,MATCH(B53,'Short_TCAD'!$A$2:$A$100,0))),"")</x:f>
        <x:v>99.262</x:v>
      </x:c>
      <x:c r="AA53" s="96" t="n">
        <x:f>IFERROR(IF(ISBLANK(INDEX('Short_TCAD'!$M$2:$M$100,MATCH(B53,'Short_TCAD'!$A$2:$A$100,0))),"",INDEX('Short_TCAD'!$M$2:$M$100,MATCH(B53,'Short_TCAD'!$A$2:$A$100,0))),"")</x:f>
        <x:v>0.0002529</x:v>
      </x:c>
      <x:c r="AB53" s="96" t="n">
        <x:f>IFERROR(IF(ISBLANK(INDEX('Short_TCAD'!$N$2:$N$100,MATCH(B53,'Short_TCAD'!$A$2:$A$100,0))),"",INDEX('Short_TCAD'!$N$2:$N$100,MATCH(B53,'Short_TCAD'!$A$2:$A$100,0))),"")</x:f>
        <x:v>8.263e-16</x:v>
      </x:c>
      <x:c r="AC53" s="95" t="n">
        <x:f>IF(OR(NOT(ISNUMBER(AA53)),NOT(ISNUMBER(AB53))),"",AA53/AB53)</x:f>
        <x:v>306063173181.65314</x:v>
      </x:c>
      <x:c r="AD53" s="93" t="n">
        <x:f>IF(NOT(ISNUMBER(Y53)),"",ABS(Y53-T53)*1000)</x:f>
        <x:v>499.55999999999665</x:v>
      </x:c>
      <x:c r="AE53" s="93" t="n">
        <x:f>IF(NOT(ISNUMBER(Z53)),"",ABS(Z53-U53))</x:f>
        <x:v>8.126982570396521</x:v>
      </x:c>
      <x:c r="AF53" s="93" t="n">
        <x:f>IF(NOT(ISNUMBER(AA53)),"",ABS(LOG10(AA53)-LOG10(V53)))</x:f>
        <x:v>0.026295679786030313</x:v>
      </x:c>
      <x:c r="AG53" s="93" t="n">
        <x:f>IF(NOT(ISNUMBER(AB53)),"",ABS(LOG10(AB53)-LOG10(W53)))</x:f>
        <x:v>2.9418076929226</x:v>
      </x:c>
      <x:c r="AH53" s="93" t="n">
        <x:f>IF(NOT(ISNUMBER(AC53)),"",ABS(LOG10(AC53)-LOG10(X53)))</x:f>
        <x:v>2.9155120131366097</x:v>
      </x:c>
      <x:c r="AI53" s="85" t="str">
        <x:f>IF(OR(NOT(ISNUMBER(Y53)),NOT(ISNUMBER(Z53)),NOT(ISNUMBER(AA53)),NOT(ISNUMBER(AB53))),"",IF(AND(Y53&gt;=0.3,Y53&lt;=1.2,Z53&lt;=200,AA53&gt;=1E-4,AB53&lt;=1E-6),"PASS","FAIL"))</x:f>
        <x:v>FAIL</x:v>
      </x:c>
      <x:c r="AJ53" s="85" t="str">
        <x:v>Practical fail: Vth</x:v>
      </x:c>
    </x:row>
    <x:row r="54">
      <x:c r="A54" s="85" t="str">
        <x:v>S090-03</x:v>
      </x:c>
      <x:c r="B54" s="85" t="str">
        <x:v>R052</x:v>
      </x:c>
      <x:c r="C54" s="93" t="n">
        <x:v>0.09</x:v>
      </x:c>
      <x:c r="D54" s="93" t="str">
        <x:v>Practical</x:v>
      </x:c>
      <x:c r="E54" s="93" t="n">
        <x:v>1</x:v>
      </x:c>
      <x:c r="F54" s="94" t="n">
        <x:v>6169</x:v>
      </x:c>
      <x:c r="G54" s="93" t="n">
        <x:v>0.916814738582654</x:v>
      </x:c>
      <x:c r="H54" s="93" t="n">
        <x:v>87.98413821800658</x:v>
      </x:c>
      <x:c r="I54" s="95" t="n">
        <x:v>0.0012932030892869155</x:v>
      </x:c>
      <x:c r="J54" s="95" t="n">
        <x:v>1.412062702792089e-15</x:v>
      </x:c>
      <x:c r="K54" s="95" t="n">
        <x:v>915825541408.2173</x:v>
      </x:c>
      <x:c r="L54" s="95" t="n">
        <x:v>10415130355.87601</x:v>
      </x:c>
      <x:c r="M54" s="95" t="n">
        <x:v>14.252681805856026</x:v>
      </x:c>
      <x:c r="N54" s="95" t="n">
        <x:v>841334746230407.2</x:v>
      </x:c>
      <x:c r="O54" s="95" t="n">
        <x:v>8.878479770946774</x:v>
      </x:c>
      <x:c r="P54" s="93" t="n">
        <x:v>0.15865211628867126</x:v>
      </x:c>
      <x:c r="Q54" s="95" t="n">
        <x:v>38857402759045.78</x:v>
      </x:c>
      <x:c r="R54" s="95" t="n">
        <x:v>7.180975440256605</x:v>
      </x:c>
      <x:c r="S54" s="97" t="n">
        <x:v>0.97</x:v>
      </x:c>
      <x:c r="T54" s="93" t="n">
        <x:v>0.9049599999999992</x:v>
      </x:c>
      <x:c r="U54" s="98" t="n">
        <x:v>88.05297809461177</x:v>
      </x:c>
      <x:c r="V54" s="95" t="n">
        <x:v>0.0011950066638974396</x:v>
      </x:c>
      <x:c r="W54" s="95" t="n">
        <x:v>1.5134726572191598e-15</x:v>
      </x:c>
      <x:c r="X54" s="95" t="n">
        <x:v>789579288530.4802</x:v>
      </x:c>
      <x:c r="Y54" s="99" t="n">
        <x:f>IFERROR(IF(ISBLANK(INDEX('Short_TCAD'!$K$2:$K$100,MATCH(B54,'Short_TCAD'!$A$2:$A$100,0))),"",INDEX('Short_TCAD'!$K$2:$K$100,MATCH(B54,'Short_TCAD'!$A$2:$A$100,0))),"")</x:f>
        <x:v>0.663</x:v>
      </x:c>
      <x:c r="Z54" s="100" t="n">
        <x:f>IFERROR(IF(ISBLANK(INDEX('Short_TCAD'!$L$2:$L$100,MATCH(B54,'Short_TCAD'!$A$2:$A$100,0))),"",INDEX('Short_TCAD'!$L$2:$L$100,MATCH(B54,'Short_TCAD'!$A$2:$A$100,0))),"")</x:f>
        <x:v>76.542</x:v>
      </x:c>
      <x:c r="AA54" s="96" t="n">
        <x:f>IFERROR(IF(ISBLANK(INDEX('Short_TCAD'!$M$2:$M$100,MATCH(B54,'Short_TCAD'!$A$2:$A$100,0))),"",INDEX('Short_TCAD'!$M$2:$M$100,MATCH(B54,'Short_TCAD'!$A$2:$A$100,0))),"")</x:f>
        <x:v>0.001569</x:v>
      </x:c>
      <x:c r="AB54" s="96" t="n">
        <x:f>IFERROR(IF(ISBLANK(INDEX('Short_TCAD'!$N$2:$N$100,MATCH(B54,'Short_TCAD'!$A$2:$A$100,0))),"",INDEX('Short_TCAD'!$N$2:$N$100,MATCH(B54,'Short_TCAD'!$A$2:$A$100,0))),"")</x:f>
        <x:v>5.306e-13</x:v>
      </x:c>
      <x:c r="AC54" s="95" t="n">
        <x:f>IF(OR(NOT(ISNUMBER(AA54)),NOT(ISNUMBER(AB54))),"",AA54/AB54)</x:f>
        <x:v>2957029777.610253</x:v>
      </x:c>
      <x:c r="AD54" s="93" t="n">
        <x:f>IF(NOT(ISNUMBER(Y54)),"",ABS(Y54-T54)*1000)</x:f>
        <x:v>241.95999999999918</x:v>
      </x:c>
      <x:c r="AE54" s="93" t="n">
        <x:f>IF(NOT(ISNUMBER(Z54)),"",ABS(Z54-U54))</x:f>
        <x:v>11.510978094611772</x:v>
      </x:c>
      <x:c r="AF54" s="93" t="n">
        <x:f>IF(NOT(ISNUMBER(AA54)),"",ABS(LOG10(AA54)-LOG10(V54)))</x:f>
        <x:v>0.11825261647364993</x:v>
      </x:c>
      <x:c r="AG54" s="93" t="n">
        <x:f>IF(NOT(ISNUMBER(AB54)),"",ABS(LOG10(AB54)-LOG10(W54)))</x:f>
        <x:v>2.5447926663571003</x:v>
      </x:c>
      <x:c r="AH54" s="93" t="n">
        <x:f>IF(NOT(ISNUMBER(AC54)),"",ABS(LOG10(AC54)-LOG10(X54)))</x:f>
        <x:v>2.4265400498834815</x:v>
      </x:c>
      <x:c r="AI54" s="85" t="str">
        <x:f>IF(OR(NOT(ISNUMBER(Y54)),NOT(ISNUMBER(Z54)),NOT(ISNUMBER(AA54)),NOT(ISNUMBER(AB54))),"",IF(AND(Y54&gt;=0.3,Y54&lt;=1.2,Z54&lt;=200,AA54&gt;=1E-4,AB54&lt;=1E-6),"PASS","FAIL"))</x:f>
        <x:v>PASS</x:v>
      </x:c>
      <x:c r="AJ54" s="85" t="str"/>
    </x:row>
    <x:row r="55">
      <x:c r="A55" s="85" t="str">
        <x:v>S090-04</x:v>
      </x:c>
      <x:c r="B55" s="85" t="str">
        <x:v>R053</x:v>
      </x:c>
      <x:c r="C55" s="93" t="n">
        <x:v>0.09</x:v>
      </x:c>
      <x:c r="D55" s="93" t="str">
        <x:v>Practical</x:v>
      </x:c>
      <x:c r="E55" s="93" t="n">
        <x:v>1</x:v>
      </x:c>
      <x:c r="F55" s="94" t="n">
        <x:v>139</x:v>
      </x:c>
      <x:c r="G55" s="93" t="n">
        <x:v>0.9677777333366101</x:v>
      </x:c>
      <x:c r="H55" s="93" t="n">
        <x:v>109.05389821969531</x:v>
      </x:c>
      <x:c r="I55" s="95" t="n">
        <x:v>0.0006445891827931565</x:v>
      </x:c>
      <x:c r="J55" s="95" t="n">
        <x:v>1.8651259784819214e-10</x:v>
      </x:c>
      <x:c r="K55" s="95" t="n">
        <x:v>3456008.817794741</x:v>
      </x:c>
      <x:c r="L55" s="95" t="n">
        <x:v>58207455262.2435</x:v>
      </x:c>
      <x:c r="M55" s="95" t="n">
        <x:v>8.828035638682472</x:v>
      </x:c>
      <x:c r="N55" s="95" t="n">
        <x:v>40263831827270.95</x:v>
      </x:c>
      <x:c r="O55" s="95" t="n">
        <x:v>14.199676432030074</x:v>
      </x:c>
      <x:c r="P55" s="93" t="n">
        <x:v>0.3634720282531614</x:v>
      </x:c>
      <x:c r="Q55" s="95" t="n">
        <x:v>7922097636775.955</x:v>
      </x:c>
      <x:c r="R55" s="95" t="n">
        <x:v>4.431525857813192</x:v>
      </x:c>
      <x:c r="S55" s="97" t="n">
        <x:v>0.77</x:v>
      </x:c>
      <x:c r="T55" s="93" t="n">
        <x:v>0.9282133333333337</x:v>
      </x:c>
      <x:c r="U55" s="98" t="n">
        <x:v>106.4488089622562</x:v>
      </x:c>
      <x:c r="V55" s="95" t="n">
        <x:v>0.00043304635253203473</x:v>
      </x:c>
      <x:c r="W55" s="95" t="n">
        <x:v>1.1931445067218004e-10</x:v>
      </x:c>
      <x:c r="X55" s="95" t="n">
        <x:v>3629454.3543752492</x:v>
      </x:c>
      <x:c r="Y55" s="99" t="n">
        <x:f>IFERROR(IF(ISBLANK(INDEX('Short_TCAD'!$K$2:$K$100,MATCH(B55,'Short_TCAD'!$A$2:$A$100,0))),"",INDEX('Short_TCAD'!$K$2:$K$100,MATCH(B55,'Short_TCAD'!$A$2:$A$100,0))),"")</x:f>
        <x:v>0.686</x:v>
      </x:c>
      <x:c r="Z55" s="100" t="n">
        <x:f>IFERROR(IF(ISBLANK(INDEX('Short_TCAD'!$L$2:$L$100,MATCH(B55,'Short_TCAD'!$A$2:$A$100,0))),"",INDEX('Short_TCAD'!$L$2:$L$100,MATCH(B55,'Short_TCAD'!$A$2:$A$100,0))),"")</x:f>
        <x:v>77.39</x:v>
      </x:c>
      <x:c r="AA55" s="96" t="n">
        <x:f>IFERROR(IF(ISBLANK(INDEX('Short_TCAD'!$M$2:$M$100,MATCH(B55,'Short_TCAD'!$A$2:$A$100,0))),"",INDEX('Short_TCAD'!$M$2:$M$100,MATCH(B55,'Short_TCAD'!$A$2:$A$100,0))),"")</x:f>
        <x:v>0.0003881</x:v>
      </x:c>
      <x:c r="AB55" s="96" t="n">
        <x:f>IFERROR(IF(ISBLANK(INDEX('Short_TCAD'!$N$2:$N$100,MATCH(B55,'Short_TCAD'!$A$2:$A$100,0))),"",INDEX('Short_TCAD'!$N$2:$N$100,MATCH(B55,'Short_TCAD'!$A$2:$A$100,0))),"")</x:f>
        <x:v>1.302e-12</x:v>
      </x:c>
      <x:c r="AC55" s="95" t="n">
        <x:f>IF(OR(NOT(ISNUMBER(AA55)),NOT(ISNUMBER(AB55))),"",AA55/AB55)</x:f>
        <x:v>298079877.1121352</x:v>
      </x:c>
      <x:c r="AD55" s="93" t="n">
        <x:f>IF(NOT(ISNUMBER(Y55)),"",ABS(Y55-T55)*1000)</x:f>
        <x:v>242.21333333333362</x:v>
      </x:c>
      <x:c r="AE55" s="93" t="n">
        <x:f>IF(NOT(ISNUMBER(Z55)),"",ABS(Z55-U55))</x:f>
        <x:v>29.058808962256194</x:v>
      </x:c>
      <x:c r="AF55" s="93" t="n">
        <x:f>IF(NOT(ISNUMBER(AA55)),"",ABS(LOG10(AA55)-LOG10(V55)))</x:f>
        <x:v>0.04759074223106019</x:v>
      </x:c>
      <x:c r="AG55" s="93" t="n">
        <x:f>IF(NOT(ISNUMBER(AB55)),"",ABS(LOG10(AB55)-LOG10(W55)))</x:f>
        <x:v>1.9620820618448889</x:v>
      </x:c>
      <x:c r="AH55" s="93" t="n">
        <x:f>IF(NOT(ISNUMBER(AC55)),"",ABS(LOG10(AC55)-LOG10(X55)))</x:f>
        <x:v>1.9144913196138509</x:v>
      </x:c>
      <x:c r="AI55" s="85" t="str">
        <x:f>IF(OR(NOT(ISNUMBER(Y55)),NOT(ISNUMBER(Z55)),NOT(ISNUMBER(AA55)),NOT(ISNUMBER(AB55))),"",IF(AND(Y55&gt;=0.3,Y55&lt;=1.2,Z55&lt;=200,AA55&gt;=1E-4,AB55&lt;=1E-6),"PASS","FAIL"))</x:f>
        <x:v>PASS</x:v>
      </x:c>
      <x:c r="AJ55" s="85" t="str"/>
    </x:row>
    <x:row r="56">
      <x:c r="A56" s="85" t="str">
        <x:v>S090-05</x:v>
      </x:c>
      <x:c r="B56" s="85" t="str">
        <x:v>R054</x:v>
      </x:c>
      <x:c r="C56" s="93" t="n">
        <x:v>0.09</x:v>
      </x:c>
      <x:c r="D56" s="93" t="str">
        <x:v>Practical</x:v>
      </x:c>
      <x:c r="E56" s="93" t="n">
        <x:v>1</x:v>
      </x:c>
      <x:c r="F56" s="94" t="n">
        <x:v>400</x:v>
      </x:c>
      <x:c r="G56" s="93" t="n">
        <x:v>0.8430571198398487</x:v>
      </x:c>
      <x:c r="H56" s="93" t="n">
        <x:v>83.49025631014817</x:v>
      </x:c>
      <x:c r="I56" s="95" t="n">
        <x:v>0.0005490083588787529</x:v>
      </x:c>
      <x:c r="J56" s="95" t="n">
        <x:v>2.1440064131421542e-11</x:v>
      </x:c>
      <x:c r="K56" s="95" t="n">
        <x:v>25606656.561915424</x:v>
      </x:c>
      <x:c r="L56" s="95" t="n">
        <x:v>16784676718.50203</x:v>
      </x:c>
      <x:c r="M56" s="95" t="n">
        <x:v>13.812440122108628</x:v>
      </x:c>
      <x:c r="N56" s="95" t="n">
        <x:v>323615640194291.1</x:v>
      </x:c>
      <x:c r="O56" s="95" t="n">
        <x:v>14.275042109422376</x:v>
      </x:c>
      <x:c r="P56" s="93" t="n">
        <x:v>0.38370626060093893</x:v>
      </x:c>
      <x:c r="Q56" s="95" t="n">
        <x:v>33348208708480.73</x:v>
      </x:c>
      <x:c r="R56" s="95" t="n">
        <x:v>7.280353574614856</x:v>
      </x:c>
      <x:c r="S56" s="97" t="n">
        <x:v>0.9866666666666667</x:v>
      </x:c>
      <x:c r="T56" s="93" t="n">
        <x:v>0.8260033333333321</x:v>
      </x:c>
      <x:c r="U56" s="98" t="n">
        <x:v>84.85295346979338</x:v>
      </x:c>
      <x:c r="V56" s="95" t="n">
        <x:v>0.0005362278920232095</x:v>
      </x:c>
      <x:c r="W56" s="95" t="n">
        <x:v>2.126489778854513e-11</x:v>
      </x:c>
      <x:c r="X56" s="95" t="n">
        <x:v>25216575.09739182</x:v>
      </x:c>
      <x:c r="Y56" s="99" t="n">
        <x:f>IFERROR(IF(ISBLANK(INDEX('Short_TCAD'!$K$2:$K$100,MATCH(B56,'Short_TCAD'!$A$2:$A$100,0))),"",INDEX('Short_TCAD'!$K$2:$K$100,MATCH(B56,'Short_TCAD'!$A$2:$A$100,0))),"")</x:f>
        <x:v>0.616</x:v>
      </x:c>
      <x:c r="Z56" s="100" t="n">
        <x:f>IFERROR(IF(ISBLANK(INDEX('Short_TCAD'!$L$2:$L$100,MATCH(B56,'Short_TCAD'!$A$2:$A$100,0))),"",INDEX('Short_TCAD'!$L$2:$L$100,MATCH(B56,'Short_TCAD'!$A$2:$A$100,0))),"")</x:f>
        <x:v>81.237</x:v>
      </x:c>
      <x:c r="AA56" s="96" t="n">
        <x:f>IFERROR(IF(ISBLANK(INDEX('Short_TCAD'!$M$2:$M$100,MATCH(B56,'Short_TCAD'!$A$2:$A$100,0))),"",INDEX('Short_TCAD'!$M$2:$M$100,MATCH(B56,'Short_TCAD'!$A$2:$A$100,0))),"")</x:f>
        <x:v>0.001357</x:v>
      </x:c>
      <x:c r="AB56" s="96" t="n">
        <x:f>IFERROR(IF(ISBLANK(INDEX('Short_TCAD'!$N$2:$N$100,MATCH(B56,'Short_TCAD'!$A$2:$A$100,0))),"",INDEX('Short_TCAD'!$N$2:$N$100,MATCH(B56,'Short_TCAD'!$A$2:$A$100,0))),"")</x:f>
        <x:v>1.783e-9</x:v>
      </x:c>
      <x:c r="AC56" s="95" t="n">
        <x:f>IF(OR(NOT(ISNUMBER(AA56)),NOT(ISNUMBER(AB56))),"",AA56/AB56)</x:f>
        <x:v>761076.8367919237</x:v>
      </x:c>
      <x:c r="AD56" s="93" t="n">
        <x:f>IF(NOT(ISNUMBER(Y56)),"",ABS(Y56-T56)*1000)</x:f>
        <x:v>210.0033333333321</x:v>
      </x:c>
      <x:c r="AE56" s="93" t="n">
        <x:f>IF(NOT(ISNUMBER(Z56)),"",ABS(Z56-U56))</x:f>
        <x:v>3.615953469793382</x:v>
      </x:c>
      <x:c r="AF56" s="93" t="n">
        <x:f>IF(NOT(ISNUMBER(AA56)),"",ABS(LOG10(AA56)-LOG10(V56)))</x:f>
        <x:v>0.4032304474930699</x:v>
      </x:c>
      <x:c r="AG56" s="93" t="n">
        <x:f>IF(NOT(ISNUMBER(AB56)),"",ABS(LOG10(AB56)-LOG10(W56)))</x:f>
        <x:v>1.923488043591961</x:v>
      </x:c>
      <x:c r="AH56" s="93" t="n">
        <x:f>IF(NOT(ISNUMBER(AC56)),"",ABS(LOG10(AC56)-LOG10(X56)))</x:f>
        <x:v>1.52025759609886</x:v>
      </x:c>
      <x:c r="AI56" s="85" t="str">
        <x:f>IF(OR(NOT(ISNUMBER(Y56)),NOT(ISNUMBER(Z56)),NOT(ISNUMBER(AA56)),NOT(ISNUMBER(AB56))),"",IF(AND(Y56&gt;=0.3,Y56&lt;=1.2,Z56&lt;=200,AA56&gt;=1E-4,AB56&lt;=1E-6),"PASS","FAIL"))</x:f>
        <x:v>PASS</x:v>
      </x:c>
      <x:c r="AJ56" s="85" t="str"/>
    </x:row>
    <x:row r="57">
      <x:c r="A57" s="85" t="str">
        <x:v>S090-06</x:v>
      </x:c>
      <x:c r="B57" s="85" t="str">
        <x:v>R055</x:v>
      </x:c>
      <x:c r="C57" s="93" t="n">
        <x:v>0.09</x:v>
      </x:c>
      <x:c r="D57" s="93" t="str">
        <x:v>Practical</x:v>
      </x:c>
      <x:c r="E57" s="93" t="n">
        <x:v>1</x:v>
      </x:c>
      <x:c r="F57" s="94" t="n">
        <x:v>4293</x:v>
      </x:c>
      <x:c r="G57" s="93" t="n">
        <x:v>0.7969911781356394</x:v>
      </x:c>
      <x:c r="H57" s="93" t="n">
        <x:v>80.00232594661256</x:v>
      </x:c>
      <x:c r="I57" s="95" t="n">
        <x:v>0.000505555206433592</x:v>
      </x:c>
      <x:c r="J57" s="95" t="n">
        <x:v>1.6389640626208907e-15</x:v>
      </x:c>
      <x:c r="K57" s="95" t="n">
        <x:v>308460214573.0709</x:v>
      </x:c>
      <x:c r="L57" s="95" t="n">
        <x:v>16203319813.226936</x:v>
      </x:c>
      <x:c r="M57" s="95" t="n">
        <x:v>7.313713648950408</x:v>
      </x:c>
      <x:c r="N57" s="95" t="n">
        <x:v>565442912409973.2</x:v>
      </x:c>
      <x:c r="O57" s="95" t="n">
        <x:v>14.223229553424737</x:v>
      </x:c>
      <x:c r="P57" s="93" t="n">
        <x:v>0.10697513788569415</x:v>
      </x:c>
      <x:c r="Q57" s="95" t="n">
        <x:v>57875624757980</x:v>
      </x:c>
      <x:c r="R57" s="95" t="n">
        <x:v>8.980931795071925</x:v>
      </x:c>
      <x:c r="S57" s="97" t="n">
        <x:v>0.9933333333333333</x:v>
      </x:c>
      <x:c r="T57" s="93" t="n">
        <x:v>0.8447333333333298</x:v>
      </x:c>
      <x:c r="U57" s="98" t="n">
        <x:v>82.63765476700935</x:v>
      </x:c>
      <x:c r="V57" s="95" t="n">
        <x:v>0.0006847183879625395</x:v>
      </x:c>
      <x:c r="W57" s="95" t="n">
        <x:v>2.134869987000373e-15</x:v>
      </x:c>
      <x:c r="X57" s="95" t="n">
        <x:v>320730719965.1123</x:v>
      </x:c>
      <x:c r="Y57" s="99" t="n">
        <x:f>IFERROR(IF(ISBLANK(INDEX('Short_TCAD'!$K$2:$K$100,MATCH(B57,'Short_TCAD'!$A$2:$A$100,0))),"",INDEX('Short_TCAD'!$K$2:$K$100,MATCH(B57,'Short_TCAD'!$A$2:$A$100,0))),"")</x:f>
        <x:v>0.753</x:v>
      </x:c>
      <x:c r="Z57" s="100" t="n">
        <x:f>IFERROR(IF(ISBLANK(INDEX('Short_TCAD'!$L$2:$L$100,MATCH(B57,'Short_TCAD'!$A$2:$A$100,0))),"",INDEX('Short_TCAD'!$L$2:$L$100,MATCH(B57,'Short_TCAD'!$A$2:$A$100,0))),"")</x:f>
        <x:v>77.503</x:v>
      </x:c>
      <x:c r="AA57" s="96" t="n">
        <x:f>IFERROR(IF(ISBLANK(INDEX('Short_TCAD'!$M$2:$M$100,MATCH(B57,'Short_TCAD'!$A$2:$A$100,0))),"",INDEX('Short_TCAD'!$M$2:$M$100,MATCH(B57,'Short_TCAD'!$A$2:$A$100,0))),"")</x:f>
        <x:v>0.001211</x:v>
      </x:c>
      <x:c r="AB57" s="96" t="n">
        <x:f>IFERROR(IF(ISBLANK(INDEX('Short_TCAD'!$N$2:$N$100,MATCH(B57,'Short_TCAD'!$A$2:$A$100,0))),"",INDEX('Short_TCAD'!$N$2:$N$100,MATCH(B57,'Short_TCAD'!$A$2:$A$100,0))),"")</x:f>
        <x:v>4.833e-15</x:v>
      </x:c>
      <x:c r="AC57" s="95" t="n">
        <x:f>IF(OR(NOT(ISNUMBER(AA57)),NOT(ISNUMBER(AB57))),"",AA57/AB57)</x:f>
        <x:v>250569004758.94888</x:v>
      </x:c>
      <x:c r="AD57" s="93" t="n">
        <x:f>IF(NOT(ISNUMBER(Y57)),"",ABS(Y57-T57)*1000)</x:f>
        <x:v>91.73333333332978</x:v>
      </x:c>
      <x:c r="AE57" s="93" t="n">
        <x:f>IF(NOT(ISNUMBER(Z57)),"",ABS(Z57-U57))</x:f>
        <x:v>5.134654767009351</x:v>
      </x:c>
      <x:c r="AF57" s="93" t="n">
        <x:f>IF(NOT(ISNUMBER(AA57)),"",ABS(LOG10(AA57)-LOG10(V57)))</x:f>
        <x:v>0.24763215223581003</x:v>
      </x:c>
      <x:c r="AG57" s="93" t="n">
        <x:f>IF(NOT(ISNUMBER(AB57)),"",ABS(LOG10(AB57)-LOG10(W57)))</x:f>
        <x:v>0.35484536338799977</x:v>
      </x:c>
      <x:c r="AH57" s="93" t="n">
        <x:f>IF(NOT(ISNUMBER(AC57)),"",ABS(LOG10(AC57)-LOG10(X57)))</x:f>
        <x:v>0.10721321115210003</x:v>
      </x:c>
      <x:c r="AI57" s="85" t="str">
        <x:f>IF(OR(NOT(ISNUMBER(Y57)),NOT(ISNUMBER(Z57)),NOT(ISNUMBER(AA57)),NOT(ISNUMBER(AB57))),"",IF(AND(Y57&gt;=0.3,Y57&lt;=1.2,Z57&lt;=200,AA57&gt;=1E-4,AB57&lt;=1E-6),"PASS","FAIL"))</x:f>
        <x:v>PASS</x:v>
      </x:c>
      <x:c r="AJ57" s="85" t="str"/>
    </x:row>
    <x:row r="58">
      <x:c r="A58" s="85" t="str">
        <x:v>S090-07</x:v>
      </x:c>
      <x:c r="B58" s="85" t="str">
        <x:v>R056</x:v>
      </x:c>
      <x:c r="C58" s="93" t="n">
        <x:v>0.09</x:v>
      </x:c>
      <x:c r="D58" s="93" t="str">
        <x:v>Practical</x:v>
      </x:c>
      <x:c r="E58" s="93" t="n">
        <x:v>1</x:v>
      </x:c>
      <x:c r="F58" s="94" t="n">
        <x:v>1542</x:v>
      </x:c>
      <x:c r="G58" s="93" t="n">
        <x:v>0.6241841601291922</x:v>
      </x:c>
      <x:c r="H58" s="93" t="n">
        <x:v>97.16223470034551</x:v>
      </x:c>
      <x:c r="I58" s="95" t="n">
        <x:v>0.001715088615475292</x:v>
      </x:c>
      <x:c r="J58" s="95" t="n">
        <x:v>1.0087476056858056e-7</x:v>
      </x:c>
      <x:c r="K58" s="95" t="n">
        <x:v>17002.15798092799</x:v>
      </x:c>
      <x:c r="L58" s="95" t="n">
        <x:v>56947118333.32315</x:v>
      </x:c>
      <x:c r="M58" s="95" t="n">
        <x:v>13.035557112588862</x:v>
      </x:c>
      <x:c r="N58" s="95" t="n">
        <x:v>621130059897384.4</x:v>
      </x:c>
      <x:c r="O58" s="95" t="n">
        <x:v>10.362440863471228</x:v>
      </x:c>
      <x:c r="P58" s="93" t="n">
        <x:v>0.3125647715896924</x:v>
      </x:c>
      <x:c r="Q58" s="95" t="n">
        <x:v>50501715830462.44</x:v>
      </x:c>
      <x:c r="R58" s="95" t="n">
        <x:v>7.913496194235235</x:v>
      </x:c>
      <x:c r="S58" s="97" t="n">
        <x:v>0.9733333333333334</x:v>
      </x:c>
      <x:c r="T58" s="93" t="n">
        <x:v>0.6119666666666636</x:v>
      </x:c>
      <x:c r="U58" s="98" t="n">
        <x:v>96.75281449517155</x:v>
      </x:c>
      <x:c r="V58" s="95" t="n">
        <x:v>0.0017529999999999512</x:v>
      </x:c>
      <x:c r="W58" s="95" t="n">
        <x:v>1.1373970859109336e-7</x:v>
      </x:c>
      <x:c r="X58" s="95" t="n">
        <x:v>15412.383429802665</x:v>
      </x:c>
      <x:c r="Y58" s="99" t="n">
        <x:f>IFERROR(IF(ISBLANK(INDEX('Short_TCAD'!$K$2:$K$100,MATCH(B58,'Short_TCAD'!$A$2:$A$100,0))),"",INDEX('Short_TCAD'!$K$2:$K$100,MATCH(B58,'Short_TCAD'!$A$2:$A$100,0))),"")</x:f>
        <x:v>0.658</x:v>
      </x:c>
      <x:c r="Z58" s="100" t="n">
        <x:f>IFERROR(IF(ISBLANK(INDEX('Short_TCAD'!$L$2:$L$100,MATCH(B58,'Short_TCAD'!$A$2:$A$100,0))),"",INDEX('Short_TCAD'!$L$2:$L$100,MATCH(B58,'Short_TCAD'!$A$2:$A$100,0))),"")</x:f>
        <x:v>77.482</x:v>
      </x:c>
      <x:c r="AA58" s="96" t="n">
        <x:f>IFERROR(IF(ISBLANK(INDEX('Short_TCAD'!$M$2:$M$100,MATCH(B58,'Short_TCAD'!$A$2:$A$100,0))),"",INDEX('Short_TCAD'!$M$2:$M$100,MATCH(B58,'Short_TCAD'!$A$2:$A$100,0))),"")</x:f>
        <x:v>0.001578</x:v>
      </x:c>
      <x:c r="AB58" s="96" t="n">
        <x:f>IFERROR(IF(ISBLANK(INDEX('Short_TCAD'!$N$2:$N$100,MATCH(B58,'Short_TCAD'!$A$2:$A$100,0))),"",INDEX('Short_TCAD'!$N$2:$N$100,MATCH(B58,'Short_TCAD'!$A$2:$A$100,0))),"")</x:f>
        <x:v>1.67e-12</x:v>
      </x:c>
      <x:c r="AC58" s="95" t="n">
        <x:f>IF(OR(NOT(ISNUMBER(AA58)),NOT(ISNUMBER(AB58))),"",AA58/AB58)</x:f>
        <x:v>944910179.6407186</x:v>
      </x:c>
      <x:c r="AD58" s="93" t="n">
        <x:f>IF(NOT(ISNUMBER(Y58)),"",ABS(Y58-T58)*1000)</x:f>
        <x:v>46.03333333333648</x:v>
      </x:c>
      <x:c r="AE58" s="93" t="n">
        <x:f>IF(NOT(ISNUMBER(Z58)),"",ABS(Z58-U58))</x:f>
        <x:v>19.27081449517155</x:v>
      </x:c>
      <x:c r="AF58" s="93" t="n">
        <x:f>IF(NOT(ISNUMBER(AA58)),"",ABS(LOG10(AA58)-LOG10(V58)))</x:f>
        <x:v>0.045674917220380085</x:v>
      </x:c>
      <x:c r="AG58" s="93" t="n">
        <x:f>IF(NOT(ISNUMBER(AB58)),"",ABS(LOG10(AB58)-LOG10(W58)))</x:f>
        <x:v>4.833195640077831</x:v>
      </x:c>
      <x:c r="AH58" s="93" t="n">
        <x:f>IF(NOT(ISNUMBER(AC58)),"",ABS(LOG10(AC58)-LOG10(X58)))</x:f>
        <x:v>4.78752072285747</x:v>
      </x:c>
      <x:c r="AI58" s="85" t="str">
        <x:f>IF(OR(NOT(ISNUMBER(Y58)),NOT(ISNUMBER(Z58)),NOT(ISNUMBER(AA58)),NOT(ISNUMBER(AB58))),"",IF(AND(Y58&gt;=0.3,Y58&lt;=1.2,Z58&lt;=200,AA58&gt;=1E-4,AB58&lt;=1E-6),"PASS","FAIL"))</x:f>
        <x:v>PASS</x:v>
      </x:c>
      <x:c r="AJ58" s="85" t="str"/>
    </x:row>
    <x:row r="59">
      <x:c r="A59" s="85" t="str">
        <x:v>S090-08</x:v>
      </x:c>
      <x:c r="B59" s="85" t="str">
        <x:v>R057</x:v>
      </x:c>
      <x:c r="C59" s="93" t="n">
        <x:v>0.09</x:v>
      </x:c>
      <x:c r="D59" s="93" t="str">
        <x:v>Practical</x:v>
      </x:c>
      <x:c r="E59" s="93" t="n">
        <x:v>1</x:v>
      </x:c>
      <x:c r="F59" s="94" t="n">
        <x:v>3275</x:v>
      </x:c>
      <x:c r="G59" s="93" t="n">
        <x:v>0.6263819184978578</x:v>
      </x:c>
      <x:c r="H59" s="93" t="n">
        <x:v>74.52906438117887</x:v>
      </x:c>
      <x:c r="I59" s="95" t="n">
        <x:v>0.0013768820149959698</x:v>
      </x:c>
      <x:c r="J59" s="95" t="n">
        <x:v>1.3958103684016573e-12</x:v>
      </x:c>
      <x:c r="K59" s="95" t="n">
        <x:v>986439165.4954087</x:v>
      </x:c>
      <x:c r="L59" s="95" t="n">
        <x:v>62878035737.48799</x:v>
      </x:c>
      <x:c r="M59" s="95" t="n">
        <x:v>7.780048065223452</x:v>
      </x:c>
      <x:c r="N59" s="95" t="n">
        <x:v>976337005398957.4</x:v>
      </x:c>
      <x:c r="O59" s="95" t="n">
        <x:v>7.304044205474656</x:v>
      </x:c>
      <x:c r="P59" s="93" t="n">
        <x:v>0.38356509992171145</x:v>
      </x:c>
      <x:c r="Q59" s="95" t="n">
        <x:v>17624542010516.203</x:v>
      </x:c>
      <x:c r="R59" s="95" t="n">
        <x:v>8.660043942538376</x:v>
      </x:c>
      <x:c r="S59" s="97" t="n">
        <x:v>0.9866666666666667</x:v>
      </x:c>
      <x:c r="T59" s="93" t="n">
        <x:v>0.6111666666666654</x:v>
      </x:c>
      <x:c r="U59" s="98" t="n">
        <x:v>74.65160663734358</x:v>
      </x:c>
      <x:c r="V59" s="95" t="n">
        <x:v>0.00127447128485252</x:v>
      </x:c>
      <x:c r="W59" s="95" t="n">
        <x:v>1.4605510041976973e-12</x:v>
      </x:c>
      <x:c r="X59" s="95" t="n">
        <x:v>872596219.63877</x:v>
      </x:c>
      <x:c r="Y59" s="99" t="n">
        <x:f>IFERROR(IF(ISBLANK(INDEX('Short_TCAD'!$K$2:$K$100,MATCH(B59,'Short_TCAD'!$A$2:$A$100,0))),"",INDEX('Short_TCAD'!$K$2:$K$100,MATCH(B59,'Short_TCAD'!$A$2:$A$100,0))),"")</x:f>
        <x:v>0.509</x:v>
      </x:c>
      <x:c r="Z59" s="100" t="n">
        <x:f>IFERROR(IF(ISBLANK(INDEX('Short_TCAD'!$L$2:$L$100,MATCH(B59,'Short_TCAD'!$A$2:$A$100,0))),"",INDEX('Short_TCAD'!$L$2:$L$100,MATCH(B59,'Short_TCAD'!$A$2:$A$100,0))),"")</x:f>
        <x:v>172.351</x:v>
      </x:c>
      <x:c r="AA59" s="96" t="n">
        <x:f>IFERROR(IF(ISBLANK(INDEX('Short_TCAD'!$M$2:$M$100,MATCH(B59,'Short_TCAD'!$A$2:$A$100,0))),"",INDEX('Short_TCAD'!$M$2:$M$100,MATCH(B59,'Short_TCAD'!$A$2:$A$100,0))),"")</x:f>
        <x:v>0.00196</x:v>
      </x:c>
      <x:c r="AB59" s="96" t="n">
        <x:f>IFERROR(IF(ISBLANK(INDEX('Short_TCAD'!$N$2:$N$100,MATCH(B59,'Short_TCAD'!$A$2:$A$100,0))),"",INDEX('Short_TCAD'!$N$2:$N$100,MATCH(B59,'Short_TCAD'!$A$2:$A$100,0))),"")</x:f>
        <x:v>0.00001351</x:v>
      </x:c>
      <x:c r="AC59" s="95" t="n">
        <x:f>IF(OR(NOT(ISNUMBER(AA59)),NOT(ISNUMBER(AB59))),"",AA59/AB59)</x:f>
        <x:v>145.0777202072539</x:v>
      </x:c>
      <x:c r="AD59" s="93" t="n">
        <x:f>IF(NOT(ISNUMBER(Y59)),"",ABS(Y59-T59)*1000)</x:f>
        <x:v>102.1666666666654</x:v>
      </x:c>
      <x:c r="AE59" s="93" t="n">
        <x:f>IF(NOT(ISNUMBER(Z59)),"",ABS(Z59-U59))</x:f>
        <x:v>97.69939336265642</x:v>
      </x:c>
      <x:c r="AF59" s="93" t="n">
        <x:f>IF(NOT(ISNUMBER(AA59)),"",ABS(LOG10(AA59)-LOG10(V59)))</x:f>
        <x:v>0.18692601654184982</x:v>
      </x:c>
      <x:c r="AG59" s="93" t="n">
        <x:f>IF(NOT(ISNUMBER(AB59)),"",ABS(LOG10(AB59)-LOG10(W59)))</x:f>
        <x:v>6.966138621362029</x:v>
      </x:c>
      <x:c r="AH59" s="93" t="n">
        <x:f>IF(NOT(ISNUMBER(AC59)),"",ABS(LOG10(AC59)-LOG10(X59)))</x:f>
        <x:v>6.7792126048201595</x:v>
      </x:c>
      <x:c r="AI59" s="85" t="str">
        <x:f>IF(OR(NOT(ISNUMBER(Y59)),NOT(ISNUMBER(Z59)),NOT(ISNUMBER(AA59)),NOT(ISNUMBER(AB59))),"",IF(AND(Y59&gt;=0.3,Y59&lt;=1.2,Z59&lt;=200,AA59&gt;=1E-4,AB59&lt;=1E-6),"PASS","FAIL"))</x:f>
        <x:v>FAIL</x:v>
      </x:c>
      <x:c r="AJ59" s="85" t="str">
        <x:v>Practical fail: Ioff</x:v>
      </x:c>
    </x:row>
    <x:row r="60">
      <x:c r="A60" s="85" t="str">
        <x:v>S090-09</x:v>
      </x:c>
      <x:c r="B60" s="85" t="str">
        <x:v>R058</x:v>
      </x:c>
      <x:c r="C60" s="93" t="n">
        <x:v>0.09</x:v>
      </x:c>
      <x:c r="D60" s="93" t="str">
        <x:v>Practical</x:v>
      </x:c>
      <x:c r="E60" s="93" t="n">
        <x:v>1</x:v>
      </x:c>
      <x:c r="F60" s="94" t="n">
        <x:v>160</x:v>
      </x:c>
      <x:c r="G60" s="93" t="n">
        <x:v>0.6756773932297564</x:v>
      </x:c>
      <x:c r="H60" s="93" t="n">
        <x:v>95.98718359498568</x:v>
      </x:c>
      <x:c r="I60" s="95" t="n">
        <x:v>0.000685590130201443</x:v>
      </x:c>
      <x:c r="J60" s="95" t="n">
        <x:v>1.1547668704995493e-8</x:v>
      </x:c>
      <x:c r="K60" s="95" t="n">
        <x:v>59370.43638122891</x:v>
      </x:c>
      <x:c r="L60" s="95" t="n">
        <x:v>73922346312.2127</x:v>
      </x:c>
      <x:c r="M60" s="95" t="n">
        <x:v>5.28029407222062</x:v>
      </x:c>
      <x:c r="N60" s="95" t="n">
        <x:v>134962447693049.4</x:v>
      </x:c>
      <x:c r="O60" s="95" t="n">
        <x:v>14.219916914591343</x:v>
      </x:c>
      <x:c r="P60" s="93" t="n">
        <x:v>0.14413473613660172</x:v>
      </x:c>
      <x:c r="Q60" s="95" t="n">
        <x:v>9758743379878.998</x:v>
      </x:c>
      <x:c r="R60" s="95" t="n">
        <x:v>3.045240100750001</x:v>
      </x:c>
      <x:c r="S60" s="97" t="n">
        <x:v>0.9833333333333333</x:v>
      </x:c>
      <x:c r="T60" s="93" t="n">
        <x:v>0.6756066666666684</x:v>
      </x:c>
      <x:c r="U60" s="98" t="n">
        <x:v>101.53906944484244</x:v>
      </x:c>
      <x:c r="V60" s="95" t="n">
        <x:v>0.0006167486413626924</x:v>
      </x:c>
      <x:c r="W60" s="95" t="n">
        <x:v>1.0984917032984651e-8</x:v>
      </x:c>
      <x:c r="X60" s="95" t="n">
        <x:v>56145.043199759064</x:v>
      </x:c>
      <x:c r="Y60" s="99" t="n">
        <x:f>IFERROR(IF(ISBLANK(INDEX('Short_TCAD'!$K$2:$K$100,MATCH(B60,'Short_TCAD'!$A$2:$A$100,0))),"",INDEX('Short_TCAD'!$K$2:$K$100,MATCH(B60,'Short_TCAD'!$A$2:$A$100,0))),"")</x:f>
        <x:v>0.552</x:v>
      </x:c>
      <x:c r="Z60" s="100" t="n">
        <x:f>IFERROR(IF(ISBLANK(INDEX('Short_TCAD'!$L$2:$L$100,MATCH(B60,'Short_TCAD'!$A$2:$A$100,0))),"",INDEX('Short_TCAD'!$L$2:$L$100,MATCH(B60,'Short_TCAD'!$A$2:$A$100,0))),"")</x:f>
        <x:v>109.12</x:v>
      </x:c>
      <x:c r="AA60" s="96" t="n">
        <x:f>IFERROR(IF(ISBLANK(INDEX('Short_TCAD'!$M$2:$M$100,MATCH(B60,'Short_TCAD'!$A$2:$A$100,0))),"",INDEX('Short_TCAD'!$M$2:$M$100,MATCH(B60,'Short_TCAD'!$A$2:$A$100,0))),"")</x:f>
        <x:v>0.0008723</x:v>
      </x:c>
      <x:c r="AB60" s="96" t="n">
        <x:f>IFERROR(IF(ISBLANK(INDEX('Short_TCAD'!$N$2:$N$100,MATCH(B60,'Short_TCAD'!$A$2:$A$100,0))),"",INDEX('Short_TCAD'!$N$2:$N$100,MATCH(B60,'Short_TCAD'!$A$2:$A$100,0))),"")</x:f>
        <x:v>1.129e-7</x:v>
      </x:c>
      <x:c r="AC60" s="95" t="n">
        <x:f>IF(OR(NOT(ISNUMBER(AA60)),NOT(ISNUMBER(AB60))),"",AA60/AB60)</x:f>
        <x:v>7726.306465899026</x:v>
      </x:c>
      <x:c r="AD60" s="93" t="n">
        <x:f>IF(NOT(ISNUMBER(Y60)),"",ABS(Y60-T60)*1000)</x:f>
        <x:v>123.6066666666683</x:v>
      </x:c>
      <x:c r="AE60" s="93" t="n">
        <x:f>IF(NOT(ISNUMBER(Z60)),"",ABS(Z60-U60))</x:f>
        <x:v>7.580930555157565</x:v>
      </x:c>
      <x:c r="AF60" s="93" t="n">
        <x:f>IF(NOT(ISNUMBER(AA60)),"",ABS(LOG10(AA60)-LOG10(V60)))</x:f>
        <x:v>0.15055767102152995</x:v>
      </x:c>
      <x:c r="AG60" s="93" t="n">
        <x:f>IF(NOT(ISNUMBER(AB60)),"",ABS(LOG10(AB60)-LOG10(W60)))</x:f>
        <x:v>1.01189716080071</x:v>
      </x:c>
      <x:c r="AH60" s="93" t="n">
        <x:f>IF(NOT(ISNUMBER(AC60)),"",ABS(LOG10(AC60)-LOG10(X60)))</x:f>
        <x:v>0.8613394897791795</x:v>
      </x:c>
      <x:c r="AI60" s="85" t="str">
        <x:f>IF(OR(NOT(ISNUMBER(Y60)),NOT(ISNUMBER(Z60)),NOT(ISNUMBER(AA60)),NOT(ISNUMBER(AB60))),"",IF(AND(Y60&gt;=0.3,Y60&lt;=1.2,Z60&lt;=200,AA60&gt;=1E-4,AB60&lt;=1E-6),"PASS","FAIL"))</x:f>
        <x:v>PASS</x:v>
      </x:c>
      <x:c r="AJ60" s="85" t="str"/>
    </x:row>
    <x:row r="61">
      <x:c r="A61" s="85" t="str">
        <x:v>S090-10</x:v>
      </x:c>
      <x:c r="B61" s="85" t="str">
        <x:v>R059</x:v>
      </x:c>
      <x:c r="C61" s="93" t="n">
        <x:v>0.09</x:v>
      </x:c>
      <x:c r="D61" s="93" t="str">
        <x:v>Practical</x:v>
      </x:c>
      <x:c r="E61" s="93" t="n">
        <x:v>1</x:v>
      </x:c>
      <x:c r="F61" s="94" t="n">
        <x:v>6109</x:v>
      </x:c>
      <x:c r="G61" s="93" t="n">
        <x:v>1.0649193824635208</x:v>
      </x:c>
      <x:c r="H61" s="93" t="n">
        <x:v>85.21269607060724</x:v>
      </x:c>
      <x:c r="I61" s="95" t="n">
        <x:v>0.00043891891925326975</x:v>
      </x:c>
      <x:c r="J61" s="95" t="n">
        <x:v>1.8103270341511984e-15</x:v>
      </x:c>
      <x:c r="K61" s="95" t="n">
        <x:v>242452833644.53766</x:v>
      </x:c>
      <x:c r="L61" s="95" t="n">
        <x:v>37358673086.774956</x:v>
      </x:c>
      <x:c r="M61" s="95" t="n">
        <x:v>13.919865201210094</x:v>
      </x:c>
      <x:c r="N61" s="95" t="n">
        <x:v>101110090371214.61</x:v>
      </x:c>
      <x:c r="O61" s="95" t="n">
        <x:v>12.42313479081231</x:v>
      </x:c>
      <x:c r="P61" s="93" t="n">
        <x:v>0.41350964275432295</x:v>
      </x:c>
      <x:c r="Q61" s="95" t="n">
        <x:v>31711894903643.445</x:v>
      </x:c>
      <x:c r="R61" s="95" t="n">
        <x:v>8.310273060054044</x:v>
      </x:c>
      <x:c r="S61" s="97" t="n">
        <x:v>0.95</x:v>
      </x:c>
      <x:c r="T61" s="93" t="n">
        <x:v>1.056740000000003</x:v>
      </x:c>
      <x:c r="U61" s="98" t="n">
        <x:v>86.28546090986762</x:v>
      </x:c>
      <x:c r="V61" s="95" t="n">
        <x:v>0.00040256684864667944</x:v>
      </x:c>
      <x:c r="W61" s="95" t="n">
        <x:v>1.8088737611980985e-15</x:v>
      </x:c>
      <x:c r="X61" s="95" t="n">
        <x:v>222551101841.42496</x:v>
      </x:c>
      <x:c r="Y61" s="99" t="n">
        <x:f>IFERROR(IF(ISBLANK(INDEX('Short_TCAD'!$K$2:$K$100,MATCH(B61,'Short_TCAD'!$A$2:$A$100,0))),"",INDEX('Short_TCAD'!$K$2:$K$100,MATCH(B61,'Short_TCAD'!$A$2:$A$100,0))),"")</x:f>
        <x:v>0.92</x:v>
      </x:c>
      <x:c r="Z61" s="100" t="n">
        <x:f>IFERROR(IF(ISBLANK(INDEX('Short_TCAD'!$L$2:$L$100,MATCH(B61,'Short_TCAD'!$A$2:$A$100,0))),"",INDEX('Short_TCAD'!$L$2:$L$100,MATCH(B61,'Short_TCAD'!$A$2:$A$100,0))),"")</x:f>
        <x:v>82.191</x:v>
      </x:c>
      <x:c r="AA61" s="96" t="n">
        <x:f>IFERROR(IF(ISBLANK(INDEX('Short_TCAD'!$M$2:$M$100,MATCH(B61,'Short_TCAD'!$A$2:$A$100,0))),"",INDEX('Short_TCAD'!$M$2:$M$100,MATCH(B61,'Short_TCAD'!$A$2:$A$100,0))),"")</x:f>
        <x:v>0.0004858</x:v>
      </x:c>
      <x:c r="AB61" s="96" t="n">
        <x:f>IFERROR(IF(ISBLANK(INDEX('Short_TCAD'!$N$2:$N$100,MATCH(B61,'Short_TCAD'!$A$2:$A$100,0))),"",INDEX('Short_TCAD'!$N$2:$N$100,MATCH(B61,'Short_TCAD'!$A$2:$A$100,0))),"")</x:f>
        <x:v>1.22e-15</x:v>
      </x:c>
      <x:c r="AC61" s="95" t="n">
        <x:f>IF(OR(NOT(ISNUMBER(AA61)),NOT(ISNUMBER(AB61))),"",AA61/AB61)</x:f>
        <x:v>398196721311.4754</x:v>
      </x:c>
      <x:c r="AD61" s="93" t="n">
        <x:f>IF(NOT(ISNUMBER(Y61)),"",ABS(Y61-T61)*1000)</x:f>
        <x:v>136.74000000000285</x:v>
      </x:c>
      <x:c r="AE61" s="93" t="n">
        <x:f>IF(NOT(ISNUMBER(Z61)),"",ABS(Z61-U61))</x:f>
        <x:v>4.094460909867621</x:v>
      </x:c>
      <x:c r="AF61" s="93" t="n">
        <x:f>IF(NOT(ISNUMBER(AA61)),"",ABS(LOG10(AA61)-LOG10(V61)))</x:f>
        <x:v>0.08161950256578976</x:v>
      </x:c>
      <x:c r="AG61" s="93" t="n">
        <x:f>IF(NOT(ISNUMBER(AB61)),"",ABS(LOG10(AB61)-LOG10(W61)))</x:f>
        <x:v>0.17104842843049894</x:v>
      </x:c>
      <x:c r="AH61" s="93" t="n">
        <x:f>IF(NOT(ISNUMBER(AC61)),"",ABS(LOG10(AC61)-LOG10(X61)))</x:f>
        <x:v>0.25266793099629936</x:v>
      </x:c>
      <x:c r="AI61" s="85" t="str">
        <x:f>IF(OR(NOT(ISNUMBER(Y61)),NOT(ISNUMBER(Z61)),NOT(ISNUMBER(AA61)),NOT(ISNUMBER(AB61))),"",IF(AND(Y61&gt;=0.3,Y61&lt;=1.2,Z61&lt;=200,AA61&gt;=1E-4,AB61&lt;=1E-6),"PASS","FAIL"))</x:f>
        <x:v>PASS</x:v>
      </x:c>
      <x:c r="AJ61" s="85" t="str"/>
    </x:row>
    <x:row r="62">
      <x:c r="A62" s="85" t="str">
        <x:v>S090-11</x:v>
      </x:c>
      <x:c r="B62" s="85" t="str">
        <x:v>R060</x:v>
      </x:c>
      <x:c r="C62" s="93" t="n">
        <x:v>0.09</x:v>
      </x:c>
      <x:c r="D62" s="93" t="str">
        <x:v>Practical</x:v>
      </x:c>
      <x:c r="E62" s="93" t="n">
        <x:v>1</x:v>
      </x:c>
      <x:c r="F62" s="94" t="n">
        <x:v>1532</x:v>
      </x:c>
      <x:c r="G62" s="93" t="n">
        <x:v>0.9208191308241849</x:v>
      </x:c>
      <x:c r="H62" s="93" t="n">
        <x:v>87.39653545798477</x:v>
      </x:c>
      <x:c r="I62" s="95" t="n">
        <x:v>0.000783627546888507</x:v>
      </x:c>
      <x:c r="J62" s="95" t="n">
        <x:v>4.0504379015512923e-13</x:v>
      </x:c>
      <x:c r="K62" s="95" t="n">
        <x:v>1934673647.4799</x:v>
      </x:c>
      <x:c r="L62" s="95" t="n">
        <x:v>97212557886.94789</x:v>
      </x:c>
      <x:c r="M62" s="95" t="n">
        <x:v>5.5771062410663985</x:v>
      </x:c>
      <x:c r="N62" s="95" t="n">
        <x:v>756826026002517.6</x:v>
      </x:c>
      <x:c r="O62" s="95" t="n">
        <x:v>14.684905794989843</x:v>
      </x:c>
      <x:c r="P62" s="93" t="n">
        <x:v>0.10095956444934312</x:v>
      </x:c>
      <x:c r="Q62" s="95" t="n">
        <x:v>82319398116538.48</x:v>
      </x:c>
      <x:c r="R62" s="95" t="n">
        <x:v>4.891460638447692</x:v>
      </x:c>
      <x:c r="S62" s="97" t="n">
        <x:v>0.9566666666666667</x:v>
      </x:c>
      <x:c r="T62" s="93" t="n">
        <x:v>0.940189999999999</x:v>
      </x:c>
      <x:c r="U62" s="98" t="n">
        <x:v>84.80307326647608</x:v>
      </x:c>
      <x:c r="V62" s="95" t="n">
        <x:v>0.0009390688090188781</x:v>
      </x:c>
      <x:c r="W62" s="95" t="n">
        <x:v>3.405208035464099e-13</x:v>
      </x:c>
      <x:c r="X62" s="95" t="n">
        <x:v>2757742843.4292164</x:v>
      </x:c>
      <x:c r="Y62" s="99" t="n">
        <x:f>IFERROR(IF(ISBLANK(INDEX('Short_TCAD'!$K$2:$K$100,MATCH(B62,'Short_TCAD'!$A$2:$A$100,0))),"",INDEX('Short_TCAD'!$K$2:$K$100,MATCH(B62,'Short_TCAD'!$A$2:$A$100,0))),"")</x:f>
        <x:v>1.056</x:v>
      </x:c>
      <x:c r="Z62" s="100" t="n">
        <x:f>IFERROR(IF(ISBLANK(INDEX('Short_TCAD'!$L$2:$L$100,MATCH(B62,'Short_TCAD'!$A$2:$A$100,0))),"",INDEX('Short_TCAD'!$L$2:$L$100,MATCH(B62,'Short_TCAD'!$A$2:$A$100,0))),"")</x:f>
        <x:v>85.29</x:v>
      </x:c>
      <x:c r="AA62" s="96" t="n">
        <x:f>IFERROR(IF(ISBLANK(INDEX('Short_TCAD'!$M$2:$M$100,MATCH(B62,'Short_TCAD'!$A$2:$A$100,0))),"",INDEX('Short_TCAD'!$M$2:$M$100,MATCH(B62,'Short_TCAD'!$A$2:$A$100,0))),"")</x:f>
        <x:v>0.0006982</x:v>
      </x:c>
      <x:c r="AB62" s="96" t="n">
        <x:f>IFERROR(IF(ISBLANK(INDEX('Short_TCAD'!$N$2:$N$100,MATCH(B62,'Short_TCAD'!$A$2:$A$100,0))),"",INDEX('Short_TCAD'!$N$2:$N$100,MATCH(B62,'Short_TCAD'!$A$2:$A$100,0))),"")</x:f>
        <x:v>3.605e-14</x:v>
      </x:c>
      <x:c r="AC62" s="95" t="n">
        <x:f>IF(OR(NOT(ISNUMBER(AA62)),NOT(ISNUMBER(AB62))),"",AA62/AB62)</x:f>
        <x:v>19367545076.28294</x:v>
      </x:c>
      <x:c r="AD62" s="93" t="n">
        <x:f>IF(NOT(ISNUMBER(Y62)),"",ABS(Y62-T62)*1000)</x:f>
        <x:v>115.81000000000108</x:v>
      </x:c>
      <x:c r="AE62" s="93" t="n">
        <x:f>IF(NOT(ISNUMBER(Z62)),"",ABS(Z62-U62))</x:f>
        <x:v>0.48692673352393</x:v>
      </x:c>
      <x:c r="AF62" s="93" t="n">
        <x:f>IF(NOT(ISNUMBER(AA62)),"",ABS(LOG10(AA62)-LOG10(V62)))</x:f>
        <x:v>0.12871757130483008</x:v>
      </x:c>
      <x:c r="AG62" s="93" t="n">
        <x:f>IF(NOT(ISNUMBER(AB62)),"",ABS(LOG10(AB62)-LOG10(W62)))</x:f>
        <x:v>0.9752383804956999</x:v>
      </x:c>
      <x:c r="AH62" s="93" t="n">
        <x:f>IF(NOT(ISNUMBER(AC62)),"",ABS(LOG10(AC62)-LOG10(X62)))</x:f>
        <x:v>0.8465208091907801</x:v>
      </x:c>
      <x:c r="AI62" s="85" t="str">
        <x:f>IF(OR(NOT(ISNUMBER(Y62)),NOT(ISNUMBER(Z62)),NOT(ISNUMBER(AA62)),NOT(ISNUMBER(AB62))),"",IF(AND(Y62&gt;=0.3,Y62&lt;=1.2,Z62&lt;=200,AA62&gt;=1E-4,AB62&lt;=1E-6),"PASS","FAIL"))</x:f>
        <x:v>PASS</x:v>
      </x:c>
      <x:c r="AJ62" s="85" t="str"/>
    </x:row>
    <x:row r="63">
      <x:c r="A63" s="85" t="str">
        <x:v>S090-12</x:v>
      </x:c>
      <x:c r="B63" s="85" t="str">
        <x:v>R061</x:v>
      </x:c>
      <x:c r="C63" s="93" t="n">
        <x:v>0.09</x:v>
      </x:c>
      <x:c r="D63" s="93" t="str">
        <x:v>Practical</x:v>
      </x:c>
      <x:c r="E63" s="93" t="n">
        <x:v>1</x:v>
      </x:c>
      <x:c r="F63" s="94" t="n">
        <x:v>7213</x:v>
      </x:c>
      <x:c r="G63" s="93" t="n">
        <x:v>0.5664031826317207</x:v>
      </x:c>
      <x:c r="H63" s="93" t="n">
        <x:v>97.61431410965042</x:v>
      </x:c>
      <x:c r="I63" s="95" t="n">
        <x:v>0.0009795725598301709</x:v>
      </x:c>
      <x:c r="J63" s="95" t="n">
        <x:v>4.465400729152006e-8</x:v>
      </x:c>
      <x:c r="K63" s="95" t="n">
        <x:v>21936.946295437967</x:v>
      </x:c>
      <x:c r="L63" s="95" t="n">
        <x:v>83575376156.90776</x:v>
      </x:c>
      <x:c r="M63" s="95" t="n">
        <x:v>5.579661694205216</x:v>
      </x:c>
      <x:c r="N63" s="95" t="n">
        <x:v>267057523841572.78</x:v>
      </x:c>
      <x:c r="O63" s="95" t="n">
        <x:v>14.023158819178638</x:v>
      </x:c>
      <x:c r="P63" s="93" t="n">
        <x:v>0.11518355337341278</x:v>
      </x:c>
      <x:c r="Q63" s="95" t="n">
        <x:v>6534148749954.803</x:v>
      </x:c>
      <x:c r="R63" s="95" t="n">
        <x:v>5.6665561469599375</x:v>
      </x:c>
      <x:c r="S63" s="97" t="n">
        <x:v>0.9666666666666667</x:v>
      </x:c>
      <x:c r="T63" s="93" t="n">
        <x:v>0.5362800000000008</x:v>
      </x:c>
      <x:c r="U63" s="98" t="n">
        <x:v>102.30577809091885</x:v>
      </x:c>
      <x:c r="V63" s="95" t="n">
        <x:v>0.001166542205001939</x:v>
      </x:c>
      <x:c r="W63" s="95" t="n">
        <x:v>4.4061407324439566e-8</x:v>
      </x:c>
      <x:c r="X63" s="95" t="n">
        <x:v>26475.373253792837</x:v>
      </x:c>
      <x:c r="Y63" s="99" t="n">
        <x:f>IFERROR(IF(ISBLANK(INDEX('Short_TCAD'!$K$2:$K$100,MATCH(B63,'Short_TCAD'!$A$2:$A$100,0))),"",INDEX('Short_TCAD'!$K$2:$K$100,MATCH(B63,'Short_TCAD'!$A$2:$A$100,0))),"")</x:f>
        <x:v>0.501</x:v>
      </x:c>
      <x:c r="Z63" s="100" t="n">
        <x:f>IFERROR(IF(ISBLANK(INDEX('Short_TCAD'!$L$2:$L$100,MATCH(B63,'Short_TCAD'!$A$2:$A$100,0))),"",INDEX('Short_TCAD'!$L$2:$L$100,MATCH(B63,'Short_TCAD'!$A$2:$A$100,0))),"")</x:f>
        <x:v>126.031</x:v>
      </x:c>
      <x:c r="AA63" s="96" t="n">
        <x:f>IFERROR(IF(ISBLANK(INDEX('Short_TCAD'!$M$2:$M$100,MATCH(B63,'Short_TCAD'!$A$2:$A$100,0))),"",INDEX('Short_TCAD'!$M$2:$M$100,MATCH(B63,'Short_TCAD'!$A$2:$A$100,0))),"")</x:f>
        <x:v>0.001484</x:v>
      </x:c>
      <x:c r="AB63" s="96" t="n">
        <x:f>IFERROR(IF(ISBLANK(INDEX('Short_TCAD'!$N$2:$N$100,MATCH(B63,'Short_TCAD'!$A$2:$A$100,0))),"",INDEX('Short_TCAD'!$N$2:$N$100,MATCH(B63,'Short_TCAD'!$A$2:$A$100,0))),"")</x:f>
        <x:v>9.987e-7</x:v>
      </x:c>
      <x:c r="AC63" s="95" t="n">
        <x:f>IF(OR(NOT(ISNUMBER(AA63)),NOT(ISNUMBER(AB63))),"",AA63/AB63)</x:f>
        <x:v>1485.931711224592</x:v>
      </x:c>
      <x:c r="AD63" s="93" t="n">
        <x:f>IF(NOT(ISNUMBER(Y63)),"",ABS(Y63-T63)*1000)</x:f>
        <x:v>35.280000000000754</x:v>
      </x:c>
      <x:c r="AE63" s="93" t="n">
        <x:f>IF(NOT(ISNUMBER(Z63)),"",ABS(Z63-U63))</x:f>
        <x:v>23.725221909081156</x:v>
      </x:c>
      <x:c r="AF63" s="93" t="n">
        <x:f>IF(NOT(ISNUMBER(AA63)),"",ABS(LOG10(AA63)-LOG10(V63)))</x:f>
        <x:v>0.1045334449389399</x:v>
      </x:c>
      <x:c r="AG63" s="93" t="n">
        <x:f>IF(NOT(ISNUMBER(AB63)),"",ABS(LOG10(AB63)-LOG10(W63)))</x:f>
        <x:v>1.35537668544384</x:v>
      </x:c>
      <x:c r="AH63" s="93" t="n">
        <x:f>IF(NOT(ISNUMBER(AC63)),"",ABS(LOG10(AC63)-LOG10(X63)))</x:f>
        <x:v>1.2508432405049095</x:v>
      </x:c>
      <x:c r="AI63" s="85" t="str">
        <x:f>IF(OR(NOT(ISNUMBER(Y63)),NOT(ISNUMBER(Z63)),NOT(ISNUMBER(AA63)),NOT(ISNUMBER(AB63))),"",IF(AND(Y63&gt;=0.3,Y63&lt;=1.2,Z63&lt;=200,AA63&gt;=1E-4,AB63&lt;=1E-6),"PASS","FAIL"))</x:f>
        <x:v>PASS</x:v>
      </x:c>
      <x:c r="AJ63" s="85" t="str"/>
    </x:row>
    <x:row r="64">
      <x:c r="A64" s="85" t="str">
        <x:v>S090-13</x:v>
      </x:c>
      <x:c r="B64" s="85" t="str">
        <x:v>R062</x:v>
      </x:c>
      <x:c r="C64" s="93" t="n">
        <x:v>0.09</x:v>
      </x:c>
      <x:c r="D64" s="93" t="str">
        <x:v>Practical</x:v>
      </x:c>
      <x:c r="E64" s="93" t="n">
        <x:v>1</x:v>
      </x:c>
      <x:c r="F64" s="94" t="n">
        <x:v>4931</x:v>
      </x:c>
      <x:c r="G64" s="93" t="n">
        <x:v>0.6143278529342568</x:v>
      </x:c>
      <x:c r="H64" s="93" t="n">
        <x:v>74.487</x:v>
      </x:c>
      <x:c r="I64" s="95" t="n">
        <x:v>0.0007279316996864966</x:v>
      </x:c>
      <x:c r="J64" s="95" t="n">
        <x:v>3.791602258683671e-13</x:v>
      </x:c>
      <x:c r="K64" s="95" t="n">
        <x:v>1919852479.30307</x:v>
      </x:c>
      <x:c r="L64" s="95" t="n">
        <x:v>15974348676.778267</x:v>
      </x:c>
      <x:c r="M64" s="95" t="n">
        <x:v>5.894845922756929</x:v>
      </x:c>
      <x:c r="N64" s="95" t="n">
        <x:v>82977791439643.16</x:v>
      </x:c>
      <x:c r="O64" s="95" t="n">
        <x:v>9.822714442728158</x:v>
      </x:c>
      <x:c r="P64" s="93" t="n">
        <x:v>0.1083595846639049</x:v>
      </x:c>
      <x:c r="Q64" s="95" t="n">
        <x:v>14838384346483.262</x:v>
      </x:c>
      <x:c r="R64" s="95" t="n">
        <x:v>5.260647825376287</x:v>
      </x:c>
      <x:c r="S64" s="97" t="n">
        <x:v>0.9866666666666667</x:v>
      </x:c>
      <x:c r="T64" s="93" t="n">
        <x:v>0.6070666666666639</x:v>
      </x:c>
      <x:c r="U64" s="98" t="n">
        <x:v>74.6290711672043</x:v>
      </x:c>
      <x:c r="V64" s="95" t="n">
        <x:v>0.0007805820371982041</x:v>
      </x:c>
      <x:c r="W64" s="95" t="n">
        <x:v>4.417551040856639e-13</x:v>
      </x:c>
      <x:c r="X64" s="95" t="n">
        <x:v>1767001739.1510112</x:v>
      </x:c>
      <x:c r="Y64" s="99" t="n">
        <x:f>IFERROR(IF(ISBLANK(INDEX('Short_TCAD'!$K$2:$K$100,MATCH(B64,'Short_TCAD'!$A$2:$A$100,0))),"",INDEX('Short_TCAD'!$K$2:$K$100,MATCH(B64,'Short_TCAD'!$A$2:$A$100,0))),"")</x:f>
        <x:v>0.805</x:v>
      </x:c>
      <x:c r="Z64" s="100" t="n">
        <x:f>IFERROR(IF(ISBLANK(INDEX('Short_TCAD'!$L$2:$L$100,MATCH(B64,'Short_TCAD'!$A$2:$A$100,0))),"",INDEX('Short_TCAD'!$L$2:$L$100,MATCH(B64,'Short_TCAD'!$A$2:$A$100,0))),"")</x:f>
        <x:v>76.453</x:v>
      </x:c>
      <x:c r="AA64" s="96" t="n">
        <x:f>IFERROR(IF(ISBLANK(INDEX('Short_TCAD'!$M$2:$M$100,MATCH(B64,'Short_TCAD'!$A$2:$A$100,0))),"",INDEX('Short_TCAD'!$M$2:$M$100,MATCH(B64,'Short_TCAD'!$A$2:$A$100,0))),"")</x:f>
        <x:v>0.000566</x:v>
      </x:c>
      <x:c r="AB64" s="96" t="n">
        <x:f>IFERROR(IF(ISBLANK(INDEX('Short_TCAD'!$N$2:$N$100,MATCH(B64,'Short_TCAD'!$A$2:$A$100,0))),"",INDEX('Short_TCAD'!$N$2:$N$100,MATCH(B64,'Short_TCAD'!$A$2:$A$100,0))),"")</x:f>
        <x:v>4.36e-15</x:v>
      </x:c>
      <x:c r="AC64" s="95" t="n">
        <x:f>IF(OR(NOT(ISNUMBER(AA64)),NOT(ISNUMBER(AB64))),"",AA64/AB64)</x:f>
        <x:v>129816513761.4679</x:v>
      </x:c>
      <x:c r="AD64" s="93" t="n">
        <x:f>IF(NOT(ISNUMBER(Y64)),"",ABS(Y64-T64)*1000)</x:f>
        <x:v>197.93333333333618</x:v>
      </x:c>
      <x:c r="AE64" s="93" t="n">
        <x:f>IF(NOT(ISNUMBER(Z64)),"",ABS(Z64-U64))</x:f>
        <x:v>1.8239288327957013</x:v>
      </x:c>
      <x:c r="AF64" s="93" t="n">
        <x:f>IF(NOT(ISNUMBER(AA64)),"",ABS(LOG10(AA64)-LOG10(V64)))</x:f>
        <x:v>0.13960212186065002</x:v>
      </x:c>
      <x:c r="AG64" s="93" t="n">
        <x:f>IF(NOT(ISNUMBER(AB64)),"",ABS(LOG10(AB64)-LOG10(W64)))</x:f>
        <x:v>2.0056950868239998</x:v>
      </x:c>
      <x:c r="AH64" s="93" t="n">
        <x:f>IF(NOT(ISNUMBER(AC64)),"",ABS(LOG10(AC64)-LOG10(X64)))</x:f>
        <x:v>1.8660929649634106</x:v>
      </x:c>
      <x:c r="AI64" s="85" t="str">
        <x:f>IF(OR(NOT(ISNUMBER(Y64)),NOT(ISNUMBER(Z64)),NOT(ISNUMBER(AA64)),NOT(ISNUMBER(AB64))),"",IF(AND(Y64&gt;=0.3,Y64&lt;=1.2,Z64&lt;=200,AA64&gt;=1E-4,AB64&lt;=1E-6),"PASS","FAIL"))</x:f>
        <x:v>PASS</x:v>
      </x:c>
      <x:c r="AJ64" s="85" t="str"/>
    </x:row>
    <x:row r="65">
      <x:c r="A65" s="85" t="str">
        <x:v>S090-14</x:v>
      </x:c>
      <x:c r="B65" s="85" t="str">
        <x:v>R063</x:v>
      </x:c>
      <x:c r="C65" s="93" t="n">
        <x:v>0.09</x:v>
      </x:c>
      <x:c r="D65" s="93" t="str">
        <x:v>Practical</x:v>
      </x:c>
      <x:c r="E65" s="93" t="n">
        <x:v>1</x:v>
      </x:c>
      <x:c r="F65" s="94" t="n">
        <x:v>907</x:v>
      </x:c>
      <x:c r="G65" s="93" t="n">
        <x:v>0.643411816339307</x:v>
      </x:c>
      <x:c r="H65" s="93" t="n">
        <x:v>83.32652933804108</x:v>
      </x:c>
      <x:c r="I65" s="95" t="n">
        <x:v>0.0015149120160482896</x:v>
      </x:c>
      <x:c r="J65" s="95" t="n">
        <x:v>2.3555664898784787e-9</x:v>
      </x:c>
      <x:c r="K65" s="95" t="n">
        <x:v>643120.0403629628</x:v>
      </x:c>
      <x:c r="L65" s="95" t="n">
        <x:v>74616535415.64423</x:v>
      </x:c>
      <x:c r="M65" s="95" t="n">
        <x:v>5.868239335305216</x:v>
      </x:c>
      <x:c r="N65" s="95" t="n">
        <x:v>707613284461801</x:v>
      </x:c>
      <x:c r="O65" s="95" t="n">
        <x:v>10.55325253840719</x:v>
      </x:c>
      <x:c r="P65" s="93" t="n">
        <x:v>0.30116443429801304</x:v>
      </x:c>
      <x:c r="Q65" s="95" t="n">
        <x:v>35669078288180.78</x:v>
      </x:c>
      <x:c r="R65" s="95" t="n">
        <x:v>8.31642391492154</x:v>
      </x:c>
      <x:c r="S65" s="97" t="n">
        <x:v>0.9633333333333334</x:v>
      </x:c>
      <x:c r="T65" s="93" t="n">
        <x:v>0.6210000000000016</x:v>
      </x:c>
      <x:c r="U65" s="98" t="n">
        <x:v>83.11508493558892</x:v>
      </x:c>
      <x:c r="V65" s="95" t="n">
        <x:v>0.0017569999999999637</x:v>
      </x:c>
      <x:c r="W65" s="95" t="n">
        <x:v>2.271416549316828e-9</x:v>
      </x:c>
      <x:c r="X65" s="95" t="n">
        <x:v>773526.1066616843</x:v>
      </x:c>
      <x:c r="Y65" s="99" t="n">
        <x:f>IFERROR(IF(ISBLANK(INDEX('Short_TCAD'!$K$2:$K$100,MATCH(B65,'Short_TCAD'!$A$2:$A$100,0))),"",INDEX('Short_TCAD'!$K$2:$K$100,MATCH(B65,'Short_TCAD'!$A$2:$A$100,0))),"")</x:f>
        <x:v>0.579</x:v>
      </x:c>
      <x:c r="Z65" s="100" t="n">
        <x:f>IFERROR(IF(ISBLANK(INDEX('Short_TCAD'!$L$2:$L$100,MATCH(B65,'Short_TCAD'!$A$2:$A$100,0))),"",INDEX('Short_TCAD'!$L$2:$L$100,MATCH(B65,'Short_TCAD'!$A$2:$A$100,0))),"")</x:f>
        <x:v>87.974</x:v>
      </x:c>
      <x:c r="AA65" s="96" t="n">
        <x:f>IFERROR(IF(ISBLANK(INDEX('Short_TCAD'!$M$2:$M$100,MATCH(B65,'Short_TCAD'!$A$2:$A$100,0))),"",INDEX('Short_TCAD'!$M$2:$M$100,MATCH(B65,'Short_TCAD'!$A$2:$A$100,0))),"")</x:f>
        <x:v>0.001713</x:v>
      </x:c>
      <x:c r="AB65" s="96" t="n">
        <x:f>IFERROR(IF(ISBLANK(INDEX('Short_TCAD'!$N$2:$N$100,MATCH(B65,'Short_TCAD'!$A$2:$A$100,0))),"",INDEX('Short_TCAD'!$N$2:$N$100,MATCH(B65,'Short_TCAD'!$A$2:$A$100,0))),"")</x:f>
        <x:v>3.855e-9</x:v>
      </x:c>
      <x:c r="AC65" s="95" t="n">
        <x:f>IF(OR(NOT(ISNUMBER(AA65)),NOT(ISNUMBER(AB65))),"",AA65/AB65)</x:f>
        <x:v>444357.9766536965</x:v>
      </x:c>
      <x:c r="AD65" s="93" t="n">
        <x:f>IF(NOT(ISNUMBER(Y65)),"",ABS(Y65-T65)*1000)</x:f>
        <x:v>42.00000000000159</x:v>
      </x:c>
      <x:c r="AE65" s="93" t="n">
        <x:f>IF(NOT(ISNUMBER(Z65)),"",ABS(Z65-U65))</x:f>
        <x:v>4.858915064411079</x:v>
      </x:c>
      <x:c r="AF65" s="93" t="n">
        <x:f>IF(NOT(ISNUMBER(AA65)),"",ABS(LOG10(AA65)-LOG10(V65)))</x:f>
        <x:v>0.011014398529780145</x:v>
      </x:c>
      <x:c r="AG65" s="93" t="n">
        <x:f>IF(NOT(ISNUMBER(AB65)),"",ABS(LOG10(AB65)-LOG10(W65)))</x:f>
        <x:v>0.22972759670055076</x:v>
      </x:c>
      <x:c r="AH65" s="93" t="n">
        <x:f>IF(NOT(ISNUMBER(AC65)),"",ABS(LOG10(AC65)-LOG10(X65)))</x:f>
        <x:v>0.24074199523033002</x:v>
      </x:c>
      <x:c r="AI65" s="85" t="str">
        <x:f>IF(OR(NOT(ISNUMBER(Y65)),NOT(ISNUMBER(Z65)),NOT(ISNUMBER(AA65)),NOT(ISNUMBER(AB65))),"",IF(AND(Y65&gt;=0.3,Y65&lt;=1.2,Z65&lt;=200,AA65&gt;=1E-4,AB65&lt;=1E-6),"PASS","FAIL"))</x:f>
        <x:v>PASS</x:v>
      </x:c>
      <x:c r="AJ65" s="85" t="str"/>
    </x:row>
    <x:row r="66">
      <x:c r="A66" s="85" t="str">
        <x:v>S090-15</x:v>
      </x:c>
      <x:c r="B66" s="85" t="str">
        <x:v>R064</x:v>
      </x:c>
      <x:c r="C66" s="93" t="n">
        <x:v>0.09</x:v>
      </x:c>
      <x:c r="D66" s="93" t="str">
        <x:v>Practical</x:v>
      </x:c>
      <x:c r="E66" s="93" t="n">
        <x:v>1</x:v>
      </x:c>
      <x:c r="F66" s="94" t="n">
        <x:v>566</x:v>
      </x:c>
      <x:c r="G66" s="93" t="n">
        <x:v>0.7442959570690946</x:v>
      </x:c>
      <x:c r="H66" s="93" t="n">
        <x:v>80.28918461815806</x:v>
      </x:c>
      <x:c r="I66" s="95" t="n">
        <x:v>0.0008683918728228623</x:v>
      </x:c>
      <x:c r="J66" s="95" t="n">
        <x:v>2.900749851296975e-15</x:v>
      </x:c>
      <x:c r="K66" s="95" t="n">
        <x:v>299368065962.18195</x:v>
      </x:c>
      <x:c r="L66" s="95" t="n">
        <x:v>39107249315.80094</x:v>
      </x:c>
      <x:c r="M66" s="95" t="n">
        <x:v>9.647135668087705</x:v>
      </x:c>
      <x:c r="N66" s="95" t="n">
        <x:v>174981424814147.4</x:v>
      </x:c>
      <x:c r="O66" s="95" t="n">
        <x:v>14.493690771688737</x:v>
      </x:c>
      <x:c r="P66" s="93" t="n">
        <x:v>0.22002616990876858</x:v>
      </x:c>
      <x:c r="Q66" s="95" t="n">
        <x:v>51859178835657.766</x:v>
      </x:c>
      <x:c r="R66" s="95" t="n">
        <x:v>8.62188693388071</x:v>
      </x:c>
      <x:c r="S66" s="97" t="n">
        <x:v>0.93</x:v>
      </x:c>
      <x:c r="T66" s="93" t="n">
        <x:v>0.8058933333333299</x:v>
      </x:c>
      <x:c r="U66" s="98" t="n">
        <x:v>81.26019975969909</x:v>
      </x:c>
      <x:c r="V66" s="95" t="n">
        <x:v>0.0008146182073096379</x:v>
      </x:c>
      <x:c r="W66" s="95" t="n">
        <x:v>3.1503211530247358e-15</x:v>
      </x:c>
      <x:c r="X66" s="95" t="n">
        <x:v>258582591342.31247</x:v>
      </x:c>
      <x:c r="Y66" s="99" t="n">
        <x:f>IFERROR(IF(ISBLANK(INDEX('Short_TCAD'!$K$2:$K$100,MATCH(B66,'Short_TCAD'!$A$2:$A$100,0))),"",INDEX('Short_TCAD'!$K$2:$K$100,MATCH(B66,'Short_TCAD'!$A$2:$A$100,0))),"")</x:f>
        <x:v>0.992</x:v>
      </x:c>
      <x:c r="Z66" s="100" t="n">
        <x:f>IFERROR(IF(ISBLANK(INDEX('Short_TCAD'!$L$2:$L$100,MATCH(B66,'Short_TCAD'!$A$2:$A$100,0))),"",INDEX('Short_TCAD'!$L$2:$L$100,MATCH(B66,'Short_TCAD'!$A$2:$A$100,0))),"")</x:f>
        <x:v>85.303</x:v>
      </x:c>
      <x:c r="AA66" s="96" t="n">
        <x:f>IFERROR(IF(ISBLANK(INDEX('Short_TCAD'!$M$2:$M$100,MATCH(B66,'Short_TCAD'!$A$2:$A$100,0))),"",INDEX('Short_TCAD'!$M$2:$M$100,MATCH(B66,'Short_TCAD'!$A$2:$A$100,0))),"")</x:f>
        <x:v>0.0004849</x:v>
      </x:c>
      <x:c r="AB66" s="96" t="n">
        <x:f>IFERROR(IF(ISBLANK(INDEX('Short_TCAD'!$N$2:$N$100,MATCH(B66,'Short_TCAD'!$A$2:$A$100,0))),"",INDEX('Short_TCAD'!$N$2:$N$100,MATCH(B66,'Short_TCAD'!$A$2:$A$100,0))),"")</x:f>
        <x:v>1.196e-15</x:v>
      </x:c>
      <x:c r="AC66" s="95" t="n">
        <x:f>IF(OR(NOT(ISNUMBER(AA66)),NOT(ISNUMBER(AB66))),"",AA66/AB66)</x:f>
        <x:v>405434782608.6957</x:v>
      </x:c>
      <x:c r="AD66" s="93" t="n">
        <x:f>IF(NOT(ISNUMBER(Y66)),"",ABS(Y66-T66)*1000)</x:f>
        <x:v>186.1066666666701</x:v>
      </x:c>
      <x:c r="AE66" s="93" t="n">
        <x:f>IF(NOT(ISNUMBER(Z66)),"",ABS(Z66-U66))</x:f>
        <x:v>4.042800240300906</x:v>
      </x:c>
      <x:c r="AF66" s="93" t="n">
        <x:f>IF(NOT(ISNUMBER(AA66)),"",ABS(LOG10(AA66)-LOG10(V66)))</x:f>
        <x:v>0.22530192854059017</x:v>
      </x:c>
      <x:c r="AG66" s="93" t="n">
        <x:f>IF(NOT(ISNUMBER(AB66)),"",ABS(LOG10(AB66)-LOG10(W66)))</x:f>
        <x:v>0.4206236496537006</x:v>
      </x:c>
      <x:c r="AH66" s="93" t="n">
        <x:f>IF(NOT(ISNUMBER(AC66)),"",ABS(LOG10(AC66)-LOG10(X66)))</x:f>
        <x:v>0.19532172111309976</x:v>
      </x:c>
      <x:c r="AI66" s="85" t="str">
        <x:f>IF(OR(NOT(ISNUMBER(Y66)),NOT(ISNUMBER(Z66)),NOT(ISNUMBER(AA66)),NOT(ISNUMBER(AB66))),"",IF(AND(Y66&gt;=0.3,Y66&lt;=1.2,Z66&lt;=200,AA66&gt;=1E-4,AB66&lt;=1E-6),"PASS","FAIL"))</x:f>
        <x:v>PASS</x:v>
      </x:c>
      <x:c r="AJ66" s="85" t="str"/>
    </x:row>
    <x:row r="67">
      <x:c r="A67" s="85" t="str">
        <x:v>S090-16</x:v>
      </x:c>
      <x:c r="B67" s="85" t="str">
        <x:v>R065</x:v>
      </x:c>
      <x:c r="C67" s="93" t="n">
        <x:v>0.09</x:v>
      </x:c>
      <x:c r="D67" s="93" t="str">
        <x:v>Practical</x:v>
      </x:c>
      <x:c r="E67" s="93" t="n">
        <x:v>1</x:v>
      </x:c>
      <x:c r="F67" s="94" t="n">
        <x:v>11646</x:v>
      </x:c>
      <x:c r="G67" s="93" t="n">
        <x:v>0.5413700211761161</x:v>
      </x:c>
      <x:c r="H67" s="93" t="n">
        <x:v>75.23984713547469</x:v>
      </x:c>
      <x:c r="I67" s="95" t="n">
        <x:v>0.0009206565076056095</x:v>
      </x:c>
      <x:c r="J67" s="95" t="n">
        <x:v>1.643216772263343e-10</x:v>
      </x:c>
      <x:c r="K67" s="95" t="n">
        <x:v>5602769.659766255</x:v>
      </x:c>
      <x:c r="L67" s="95" t="n">
        <x:v>25454184680.752827</x:v>
      </x:c>
      <x:c r="M67" s="95" t="n">
        <x:v>5.369721841527124</x:v>
      </x:c>
      <x:c r="N67" s="95" t="n">
        <x:v>139258350400421.9</x:v>
      </x:c>
      <x:c r="O67" s="95" t="n">
        <x:v>13.990068020842369</x:v>
      </x:c>
      <x:c r="P67" s="93" t="n">
        <x:v>0.21680192156247832</x:v>
      </x:c>
      <x:c r="Q67" s="95" t="n">
        <x:v>8213640009538.476</x:v>
      </x:c>
      <x:c r="R67" s="95" t="n">
        <x:v>8.195335649347438</x:v>
      </x:c>
      <x:c r="S67" s="97" t="n">
        <x:v>0.9633333333333334</x:v>
      </x:c>
      <x:c r="T67" s="93" t="n">
        <x:v>0.5557633333333336</x:v>
      </x:c>
      <x:c r="U67" s="98" t="n">
        <x:v>76.31825712167588</x:v>
      </x:c>
      <x:c r="V67" s="95" t="n">
        <x:v>0.0009436669518205035</x:v>
      </x:c>
      <x:c r="W67" s="95" t="n">
        <x:v>1.554825093985661e-10</x:v>
      </x:c>
      <x:c r="X67" s="95" t="n">
        <x:v>6069280.432061294</x:v>
      </x:c>
      <x:c r="Y67" s="99" t="n">
        <x:f>IFERROR(IF(ISBLANK(INDEX('Short_TCAD'!$K$2:$K$100,MATCH(B67,'Short_TCAD'!$A$2:$A$100,0))),"",INDEX('Short_TCAD'!$K$2:$K$100,MATCH(B67,'Short_TCAD'!$A$2:$A$100,0))),"")</x:f>
        <x:v>0.528</x:v>
      </x:c>
      <x:c r="Z67" s="100" t="n">
        <x:f>IFERROR(IF(ISBLANK(INDEX('Short_TCAD'!$L$2:$L$100,MATCH(B67,'Short_TCAD'!$A$2:$A$100,0))),"",INDEX('Short_TCAD'!$L$2:$L$100,MATCH(B67,'Short_TCAD'!$A$2:$A$100,0))),"")</x:f>
        <x:v>88.926</x:v>
      </x:c>
      <x:c r="AA67" s="96" t="n">
        <x:f>IFERROR(IF(ISBLANK(INDEX('Short_TCAD'!$M$2:$M$100,MATCH(B67,'Short_TCAD'!$A$2:$A$100,0))),"",INDEX('Short_TCAD'!$M$2:$M$100,MATCH(B67,'Short_TCAD'!$A$2:$A$100,0))),"")</x:f>
        <x:v>0.00121</x:v>
      </x:c>
      <x:c r="AB67" s="96" t="n">
        <x:f>IFERROR(IF(ISBLANK(INDEX('Short_TCAD'!$N$2:$N$100,MATCH(B67,'Short_TCAD'!$A$2:$A$100,0))),"",INDEX('Short_TCAD'!$N$2:$N$100,MATCH(B67,'Short_TCAD'!$A$2:$A$100,0))),"")</x:f>
        <x:v>1.461e-8</x:v>
      </x:c>
      <x:c r="AC67" s="95" t="n">
        <x:f>IF(OR(NOT(ISNUMBER(AA67)),NOT(ISNUMBER(AB67))),"",AA67/AB67)</x:f>
        <x:v>82819.98631074606</x:v>
      </x:c>
      <x:c r="AD67" s="93" t="n">
        <x:f>IF(NOT(ISNUMBER(Y67)),"",ABS(Y67-T67)*1000)</x:f>
        <x:v>27.763333333333584</x:v>
      </x:c>
      <x:c r="AE67" s="93" t="n">
        <x:f>IF(NOT(ISNUMBER(Z67)),"",ABS(Z67-U67))</x:f>
        <x:v>12.607742878324117</x:v>
      </x:c>
      <x:c r="AF67" s="93" t="n">
        <x:f>IF(NOT(ISNUMBER(AA67)),"",ABS(LOG10(AA67)-LOG10(V67)))</x:f>
        <x:v>0.10796662443746996</x:v>
      </x:c>
      <x:c r="AG67" s="93" t="n">
        <x:f>IF(NOT(ISNUMBER(AB67)),"",ABS(LOG10(AB67)-LOG10(W67)))</x:f>
        <x:v>1.97296867465454</x:v>
      </x:c>
      <x:c r="AH67" s="93" t="n">
        <x:f>IF(NOT(ISNUMBER(AC67)),"",ABS(LOG10(AC67)-LOG10(X67)))</x:f>
        <x:v>1.8650020502170799</x:v>
      </x:c>
      <x:c r="AI67" s="85" t="str">
        <x:f>IF(OR(NOT(ISNUMBER(Y67)),NOT(ISNUMBER(Z67)),NOT(ISNUMBER(AA67)),NOT(ISNUMBER(AB67))),"",IF(AND(Y67&gt;=0.3,Y67&lt;=1.2,Z67&lt;=200,AA67&gt;=1E-4,AB67&lt;=1E-6),"PASS","FAIL"))</x:f>
        <x:v>PASS</x:v>
      </x:c>
      <x:c r="AJ67" s="85" t="str"/>
    </x:row>
    <x:row r="68">
      <x:c r="A68" s="85" t="str">
        <x:v>S090-17</x:v>
      </x:c>
      <x:c r="B68" s="85" t="str">
        <x:v>R066</x:v>
      </x:c>
      <x:c r="C68" s="93" t="n">
        <x:v>0.09</x:v>
      </x:c>
      <x:c r="D68" s="93" t="str">
        <x:v>Practical</x:v>
      </x:c>
      <x:c r="E68" s="93" t="n">
        <x:v>1</x:v>
      </x:c>
      <x:c r="F68" s="94" t="n">
        <x:v>2314</x:v>
      </x:c>
      <x:c r="G68" s="93" t="n">
        <x:v>0.905014417242204</x:v>
      </x:c>
      <x:c r="H68" s="93" t="n">
        <x:v>84.71279218304592</x:v>
      </x:c>
      <x:c r="I68" s="95" t="n">
        <x:v>0.0006444842560380874</x:v>
      </x:c>
      <x:c r="J68" s="95" t="n">
        <x:v>3.050009222822057e-14</x:v>
      </x:c>
      <x:c r="K68" s="95" t="n">
        <x:v>21130567449.293507</x:v>
      </x:c>
      <x:c r="L68" s="95" t="n">
        <x:v>58890767487.097</x:v>
      </x:c>
      <x:c r="M68" s="95" t="n">
        <x:v>9.067049484583688</x:v>
      </x:c>
      <x:c r="N68" s="95" t="n">
        <x:v>140326516408359.92</x:v>
      </x:c>
      <x:c r="O68" s="95" t="n">
        <x:v>7.148143755667963</x:v>
      </x:c>
      <x:c r="P68" s="93" t="n">
        <x:v>0.1444750544181894</x:v>
      </x:c>
      <x:c r="Q68" s="95" t="n">
        <x:v>11853115693414.34</x:v>
      </x:c>
      <x:c r="R68" s="95" t="n">
        <x:v>3.189567044836207</x:v>
      </x:c>
      <x:c r="S68" s="97" t="n">
        <x:v>0.89</x:v>
      </x:c>
      <x:c r="T68" s="93" t="n">
        <x:v>0.8995999999999983</x:v>
      </x:c>
      <x:c r="U68" s="98" t="n">
        <x:v>83.49072994278137</x:v>
      </x:c>
      <x:c r="V68" s="95" t="n">
        <x:v>0.000597889800507918</x:v>
      </x:c>
      <x:c r="W68" s="95" t="n">
        <x:v>2.750531343433673e-14</x:v>
      </x:c>
      <x:c r="X68" s="95" t="n">
        <x:v>21737247311.696945</x:v>
      </x:c>
      <x:c r="Y68" s="99" t="n">
        <x:f>IFERROR(IF(ISBLANK(INDEX('Short_TCAD'!$K$2:$K$100,MATCH(B68,'Short_TCAD'!$A$2:$A$100,0))),"",INDEX('Short_TCAD'!$K$2:$K$100,MATCH(B68,'Short_TCAD'!$A$2:$A$100,0))),"")</x:f>
        <x:v>0.801</x:v>
      </x:c>
      <x:c r="Z68" s="100" t="n">
        <x:f>IFERROR(IF(ISBLANK(INDEX('Short_TCAD'!$L$2:$L$100,MATCH(B68,'Short_TCAD'!$A$2:$A$100,0))),"",INDEX('Short_TCAD'!$L$2:$L$100,MATCH(B68,'Short_TCAD'!$A$2:$A$100,0))),"")</x:f>
        <x:v>80.53</x:v>
      </x:c>
      <x:c r="AA68" s="96" t="n">
        <x:f>IFERROR(IF(ISBLANK(INDEX('Short_TCAD'!$M$2:$M$100,MATCH(B68,'Short_TCAD'!$A$2:$A$100,0))),"",INDEX('Short_TCAD'!$M$2:$M$100,MATCH(B68,'Short_TCAD'!$A$2:$A$100,0))),"")</x:f>
        <x:v>0.0006875</x:v>
      </x:c>
      <x:c r="AB68" s="96" t="n">
        <x:f>IFERROR(IF(ISBLANK(INDEX('Short_TCAD'!$N$2:$N$100,MATCH(B68,'Short_TCAD'!$A$2:$A$100,0))),"",INDEX('Short_TCAD'!$N$2:$N$100,MATCH(B68,'Short_TCAD'!$A$2:$A$100,0))),"")</x:f>
        <x:v>6.328e-14</x:v>
      </x:c>
      <x:c r="AC68" s="95" t="n">
        <x:f>IF(OR(NOT(ISNUMBER(AA68)),NOT(ISNUMBER(AB68))),"",AA68/AB68)</x:f>
        <x:v>10864412136.53603</x:v>
      </x:c>
      <x:c r="AD68" s="93" t="n">
        <x:f>IF(NOT(ISNUMBER(Y68)),"",ABS(Y68-T68)*1000)</x:f>
        <x:v>98.59999999999825</x:v>
      </x:c>
      <x:c r="AE68" s="93" t="n">
        <x:f>IF(NOT(ISNUMBER(Z68)),"",ABS(Z68-U68))</x:f>
        <x:v>2.96072994278137</x:v>
      </x:c>
      <x:c r="AF68" s="93" t="n">
        <x:f>IF(NOT(ISNUMBER(AA68)),"",ABS(LOG10(AA68)-LOG10(V68)))</x:f>
        <x:v>0.06065155771387998</x:v>
      </x:c>
      <x:c r="AG68" s="93" t="n">
        <x:f>IF(NOT(ISNUMBER(AB68)),"",ABS(LOG10(AB68)-LOG10(W68)))</x:f>
        <x:v>0.3618498722116996</x:v>
      </x:c>
      <x:c r="AH68" s="93" t="n">
        <x:f>IF(NOT(ISNUMBER(AC68)),"",ABS(LOG10(AC68)-LOG10(X68)))</x:f>
        <x:v>0.30119831449780143</x:v>
      </x:c>
      <x:c r="AI68" s="85" t="str">
        <x:f>IF(OR(NOT(ISNUMBER(Y68)),NOT(ISNUMBER(Z68)),NOT(ISNUMBER(AA68)),NOT(ISNUMBER(AB68))),"",IF(AND(Y68&gt;=0.3,Y68&lt;=1.2,Z68&lt;=200,AA68&gt;=1E-4,AB68&lt;=1E-6),"PASS","FAIL"))</x:f>
        <x:v>PASS</x:v>
      </x:c>
      <x:c r="AJ68" s="85" t="str"/>
    </x:row>
    <x:row r="69">
      <x:c r="A69" s="85" t="str">
        <x:v>S090-18</x:v>
      </x:c>
      <x:c r="B69" s="85" t="str">
        <x:v>R067</x:v>
      </x:c>
      <x:c r="C69" s="93" t="n">
        <x:v>0.09</x:v>
      </x:c>
      <x:c r="D69" s="93" t="str">
        <x:v>Practical</x:v>
      </x:c>
      <x:c r="E69" s="93" t="n">
        <x:v>1</x:v>
      </x:c>
      <x:c r="F69" s="94" t="n">
        <x:v>2357</x:v>
      </x:c>
      <x:c r="G69" s="93" t="n">
        <x:v>0.6494942449153381</x:v>
      </x:c>
      <x:c r="H69" s="93" t="n">
        <x:v>75.65617605048622</x:v>
      </x:c>
      <x:c r="I69" s="95" t="n">
        <x:v>0.0007414741574458889</x:v>
      </x:c>
      <x:c r="J69" s="95" t="n">
        <x:v>6.240622844073544e-11</x:v>
      </x:c>
      <x:c r="K69" s="95" t="n">
        <x:v>11881412.736711618</x:v>
      </x:c>
      <x:c r="L69" s="95" t="n">
        <x:v>49413958091.87255</x:v>
      </x:c>
      <x:c r="M69" s="95" t="n">
        <x:v>7.771485418273847</x:v>
      </x:c>
      <x:c r="N69" s="95" t="n">
        <x:v>55354690674539.125</x:v>
      </x:c>
      <x:c r="O69" s="95" t="n">
        <x:v>13.808703860225014</x:v>
      </x:c>
      <x:c r="P69" s="93" t="n">
        <x:v>0.4398987606192717</x:v>
      </x:c>
      <x:c r="Q69" s="95" t="n">
        <x:v>8656891163674.584</x:v>
      </x:c>
      <x:c r="R69" s="95" t="n">
        <x:v>7.769390725408495</x:v>
      </x:c>
      <x:c r="S69" s="97" t="n">
        <x:v>0.7933333333333333</x:v>
      </x:c>
      <x:c r="T69" s="93" t="n">
        <x:v>0.6303866666666661</x:v>
      </x:c>
      <x:c r="U69" s="98" t="n">
        <x:v>80.93596945916369</x:v>
      </x:c>
      <x:c r="V69" s="95" t="n">
        <x:v>0.0005805113131014495</x:v>
      </x:c>
      <x:c r="W69" s="95" t="n">
        <x:v>6.582484770020557e-11</x:v>
      </x:c>
      <x:c r="X69" s="95" t="n">
        <x:v>8819030.09856317</x:v>
      </x:c>
      <x:c r="Y69" s="99" t="n">
        <x:f>IFERROR(IF(ISBLANK(INDEX('Short_TCAD'!$K$2:$K$100,MATCH(B69,'Short_TCAD'!$A$2:$A$100,0))),"",INDEX('Short_TCAD'!$K$2:$K$100,MATCH(B69,'Short_TCAD'!$A$2:$A$100,0))),"")</x:f>
        <x:v>0.579</x:v>
      </x:c>
      <x:c r="Z69" s="100" t="n">
        <x:f>IFERROR(IF(ISBLANK(INDEX('Short_TCAD'!$L$2:$L$100,MATCH(B69,'Short_TCAD'!$A$2:$A$100,0))),"",INDEX('Short_TCAD'!$L$2:$L$100,MATCH(B69,'Short_TCAD'!$A$2:$A$100,0))),"")</x:f>
        <x:v>72.702</x:v>
      </x:c>
      <x:c r="AA69" s="96" t="n">
        <x:f>IFERROR(IF(ISBLANK(INDEX('Short_TCAD'!$M$2:$M$100,MATCH(B69,'Short_TCAD'!$A$2:$A$100,0))),"",INDEX('Short_TCAD'!$M$2:$M$100,MATCH(B69,'Short_TCAD'!$A$2:$A$100,0))),"")</x:f>
        <x:v>0.0006863</x:v>
      </x:c>
      <x:c r="AB69" s="96" t="n">
        <x:f>IFERROR(IF(ISBLANK(INDEX('Short_TCAD'!$N$2:$N$100,MATCH(B69,'Short_TCAD'!$A$2:$A$100,0))),"",INDEX('Short_TCAD'!$N$2:$N$100,MATCH(B69,'Short_TCAD'!$A$2:$A$100,0))),"")</x:f>
        <x:v>5.252e-13</x:v>
      </x:c>
      <x:c r="AC69" s="95" t="n">
        <x:f>IF(OR(NOT(ISNUMBER(AA69)),NOT(ISNUMBER(AB69))),"",AA69/AB69)</x:f>
        <x:v>1306740289.4135568</x:v>
      </x:c>
      <x:c r="AD69" s="93" t="n">
        <x:f>IF(NOT(ISNUMBER(Y69)),"",ABS(Y69-T69)*1000)</x:f>
        <x:v>51.38666666666614</x:v>
      </x:c>
      <x:c r="AE69" s="93" t="n">
        <x:f>IF(NOT(ISNUMBER(Z69)),"",ABS(Z69-U69))</x:f>
        <x:v>8.233969459163688</x:v>
      </x:c>
      <x:c r="AF69" s="93" t="n">
        <x:f>IF(NOT(ISNUMBER(AA69)),"",ABS(LOG10(AA69)-LOG10(V69)))</x:f>
        <x:v>0.0727033111301898</x:v>
      </x:c>
      <x:c r="AG69" s="93" t="n">
        <x:f>IF(NOT(ISNUMBER(AB69)),"",ABS(LOG10(AB69)-LOG10(W69)))</x:f>
        <x:v>2.0980651455291994</x:v>
      </x:c>
      <x:c r="AH69" s="93" t="n">
        <x:f>IF(NOT(ISNUMBER(AC69)),"",ABS(LOG10(AC69)-LOG10(X69)))</x:f>
        <x:v>2.170768456659311</x:v>
      </x:c>
      <x:c r="AI69" s="85" t="str">
        <x:f>IF(OR(NOT(ISNUMBER(Y69)),NOT(ISNUMBER(Z69)),NOT(ISNUMBER(AA69)),NOT(ISNUMBER(AB69))),"",IF(AND(Y69&gt;=0.3,Y69&lt;=1.2,Z69&lt;=200,AA69&gt;=1E-4,AB69&lt;=1E-6),"PASS","FAIL"))</x:f>
        <x:v>PASS</x:v>
      </x:c>
      <x:c r="AJ69" s="85" t="str"/>
    </x:row>
    <x:row r="70">
      <x:c r="A70" s="85" t="str">
        <x:v>S090-19</x:v>
      </x:c>
      <x:c r="B70" s="85" t="str">
        <x:v>R068</x:v>
      </x:c>
      <x:c r="C70" s="93" t="n">
        <x:v>0.09</x:v>
      </x:c>
      <x:c r="D70" s="93" t="str">
        <x:v>Practical</x:v>
      </x:c>
      <x:c r="E70" s="93" t="n">
        <x:v>1</x:v>
      </x:c>
      <x:c r="F70" s="94" t="n">
        <x:v>14056</x:v>
      </x:c>
      <x:c r="G70" s="93" t="n">
        <x:v>0.5359412535783218</x:v>
      </x:c>
      <x:c r="H70" s="93" t="n">
        <x:v>91.58767544358508</x:v>
      </x:c>
      <x:c r="I70" s="95" t="n">
        <x:v>0.001470044868772765</x:v>
      </x:c>
      <x:c r="J70" s="95" t="n">
        <x:v>1.4867052061687176e-8</x:v>
      </x:c>
      <x:c r="K70" s="95" t="n">
        <x:v>98879.37855286815</x:v>
      </x:c>
      <x:c r="L70" s="95" t="n">
        <x:v>31588030114.077606</x:v>
      </x:c>
      <x:c r="M70" s="95" t="n">
        <x:v>13.755468189521148</x:v>
      </x:c>
      <x:c r="N70" s="95" t="n">
        <x:v>544454368554649.1</x:v>
      </x:c>
      <x:c r="O70" s="95" t="n">
        <x:v>12.865134008062192</x:v>
      </x:c>
      <x:c r="P70" s="93" t="n">
        <x:v>0.3005805541920381</x:v>
      </x:c>
      <x:c r="Q70" s="95" t="n">
        <x:v>14506029220478.277</x:v>
      </x:c>
      <x:c r="R70" s="95" t="n">
        <x:v>8.316944810422815</x:v>
      </x:c>
      <x:c r="S70" s="97" t="n">
        <x:v>0.99</x:v>
      </x:c>
      <x:c r="T70" s="93" t="n">
        <x:v>0.5291366666666666</x:v>
      </x:c>
      <x:c r="U70" s="98" t="n">
        <x:v>91.6871158906101</x:v>
      </x:c>
      <x:c r="V70" s="95" t="n">
        <x:v>0.0014132958465572919</x:v>
      </x:c>
      <x:c r="W70" s="95" t="n">
        <x:v>1.4897794613304455e-8</x:v>
      </x:c>
      <x:c r="X70" s="95" t="n">
        <x:v>94866.1116119261</x:v>
      </x:c>
      <x:c r="Y70" s="99" t="n">
        <x:f>IFERROR(IF(ISBLANK(INDEX('Short_TCAD'!$K$2:$K$100,MATCH(B70,'Short_TCAD'!$A$2:$A$100,0))),"",INDEX('Short_TCAD'!$K$2:$K$100,MATCH(B70,'Short_TCAD'!$A$2:$A$100,0))),"")</x:f>
        <x:v>0.518</x:v>
      </x:c>
      <x:c r="Z70" s="100" t="n">
        <x:f>IFERROR(IF(ISBLANK(INDEX('Short_TCAD'!$L$2:$L$100,MATCH(B70,'Short_TCAD'!$A$2:$A$100,0))),"",INDEX('Short_TCAD'!$L$2:$L$100,MATCH(B70,'Short_TCAD'!$A$2:$A$100,0))),"")</x:f>
        <x:v>150.243</x:v>
      </x:c>
      <x:c r="AA70" s="96" t="n">
        <x:f>IFERROR(IF(ISBLANK(INDEX('Short_TCAD'!$M$2:$M$100,MATCH(B70,'Short_TCAD'!$A$2:$A$100,0))),"",INDEX('Short_TCAD'!$M$2:$M$100,MATCH(B70,'Short_TCAD'!$A$2:$A$100,0))),"")</x:f>
        <x:v>0.001793</x:v>
      </x:c>
      <x:c r="AB70" s="96" t="n">
        <x:f>IFERROR(IF(ISBLANK(INDEX('Short_TCAD'!$N$2:$N$100,MATCH(B70,'Short_TCAD'!$A$2:$A$100,0))),"",INDEX('Short_TCAD'!$N$2:$N$100,MATCH(B70,'Short_TCAD'!$A$2:$A$100,0))),"")</x:f>
        <x:v>0.000004727</x:v>
      </x:c>
      <x:c r="AC70" s="95" t="n">
        <x:f>IF(OR(NOT(ISNUMBER(AA70)),NOT(ISNUMBER(AB70))),"",AA70/AB70)</x:f>
        <x:v>379.3103448275862</x:v>
      </x:c>
      <x:c r="AD70" s="93" t="n">
        <x:f>IF(NOT(ISNUMBER(Y70)),"",ABS(Y70-T70)*1000)</x:f>
        <x:v>11.136666666666573</x:v>
      </x:c>
      <x:c r="AE70" s="93" t="n">
        <x:f>IF(NOT(ISNUMBER(Z70)),"",ABS(Z70-U70))</x:f>
        <x:v>58.55588410938989</x:v>
      </x:c>
      <x:c r="AF70" s="93" t="n">
        <x:f>IF(NOT(ISNUMBER(AA70)),"",ABS(LOG10(AA70)-LOG10(V70)))</x:f>
        <x:v>0.10334720692205002</x:v>
      </x:c>
      <x:c r="AG70" s="93" t="n">
        <x:f>IF(NOT(ISNUMBER(AB70)),"",ABS(LOG10(AB70)-LOG10(W70)))</x:f>
        <x:v>2.50146361967329</x:v>
      </x:c>
      <x:c r="AH70" s="93" t="n">
        <x:f>IF(NOT(ISNUMBER(AC70)),"",ABS(LOG10(AC70)-LOG10(X70)))</x:f>
        <x:v>2.3981164127512398</x:v>
      </x:c>
      <x:c r="AI70" s="85" t="str">
        <x:f>IF(OR(NOT(ISNUMBER(Y70)),NOT(ISNUMBER(Z70)),NOT(ISNUMBER(AA70)),NOT(ISNUMBER(AB70))),"",IF(AND(Y70&gt;=0.3,Y70&lt;=1.2,Z70&lt;=200,AA70&gt;=1E-4,AB70&lt;=1E-6),"PASS","FAIL"))</x:f>
        <x:v>FAIL</x:v>
      </x:c>
      <x:c r="AJ70" s="85" t="str">
        <x:v>Practical fail: Ioff</x:v>
      </x:c>
    </x:row>
    <x:row r="71">
      <x:c r="A71" s="85" t="str">
        <x:v>S090-20</x:v>
      </x:c>
      <x:c r="B71" s="85" t="str">
        <x:v>R069</x:v>
      </x:c>
      <x:c r="C71" s="93" t="n">
        <x:v>0.09</x:v>
      </x:c>
      <x:c r="D71" s="93" t="str">
        <x:v>Practical</x:v>
      </x:c>
      <x:c r="E71" s="93" t="n">
        <x:v>1</x:v>
      </x:c>
      <x:c r="F71" s="94" t="n">
        <x:v>15604</x:v>
      </x:c>
      <x:c r="G71" s="93" t="n">
        <x:v>0.568605985920211</x:v>
      </x:c>
      <x:c r="H71" s="93" t="n">
        <x:v>77.76556131763947</x:v>
      </x:c>
      <x:c r="I71" s="95" t="n">
        <x:v>0.0012357726540266677</x:v>
      </x:c>
      <x:c r="J71" s="95" t="n">
        <x:v>5.207067085596024e-11</x:v>
      </x:c>
      <x:c r="K71" s="95" t="n">
        <x:v>23732604.81788503</x:v>
      </x:c>
      <x:c r="L71" s="95" t="n">
        <x:v>71861602110.00027</x:v>
      </x:c>
      <x:c r="M71" s="95" t="n">
        <x:v>10.164468884884023</x:v>
      </x:c>
      <x:c r="N71" s="95" t="n">
        <x:v>982985146120771.9</x:v>
      </x:c>
      <x:c r="O71" s="95" t="n">
        <x:v>9.197177603606784</x:v>
      </x:c>
      <x:c r="P71" s="93" t="n">
        <x:v>0.19107219473865822</x:v>
      </x:c>
      <x:c r="Q71" s="95" t="n">
        <x:v>16162216480671.574</x:v>
      </x:c>
      <x:c r="R71" s="95" t="n">
        <x:v>6.618561840651179</x:v>
      </x:c>
      <x:c r="S71" s="97" t="n">
        <x:v>0.9966666666666667</x:v>
      </x:c>
      <x:c r="T71" s="93" t="n">
        <x:v>0.5918766666666667</x:v>
      </x:c>
      <x:c r="U71" s="98" t="n">
        <x:v>78.69661532704309</x:v>
      </x:c>
      <x:c r="V71" s="95" t="n">
        <x:v>0.001232481213184103</x:v>
      </x:c>
      <x:c r="W71" s="95" t="n">
        <x:v>5.2425670250124536e-11</x:v>
      </x:c>
      <x:c r="X71" s="95" t="n">
        <x:v>23509116.951750852</x:v>
      </x:c>
      <x:c r="Y71" s="99" t="n">
        <x:f>IFERROR(IF(ISBLANK(INDEX('Short_TCAD'!$K$2:$K$100,MATCH(B71,'Short_TCAD'!$A$2:$A$100,0))),"",INDEX('Short_TCAD'!$K$2:$K$100,MATCH(B71,'Short_TCAD'!$A$2:$A$100,0))),"")</x:f>
        <x:v>0.544</x:v>
      </x:c>
      <x:c r="Z71" s="100" t="n">
        <x:f>IFERROR(IF(ISBLANK(INDEX('Short_TCAD'!$L$2:$L$100,MATCH(B71,'Short_TCAD'!$A$2:$A$100,0))),"",INDEX('Short_TCAD'!$L$2:$L$100,MATCH(B71,'Short_TCAD'!$A$2:$A$100,0))),"")</x:f>
        <x:v>104.67</x:v>
      </x:c>
      <x:c r="AA71" s="96" t="n">
        <x:f>IFERROR(IF(ISBLANK(INDEX('Short_TCAD'!$M$2:$M$100,MATCH(B71,'Short_TCAD'!$A$2:$A$100,0))),"",INDEX('Short_TCAD'!$M$2:$M$100,MATCH(B71,'Short_TCAD'!$A$2:$A$100,0))),"")</x:f>
        <x:v>0.001784</x:v>
      </x:c>
      <x:c r="AB71" s="96" t="n">
        <x:f>IFERROR(IF(ISBLANK(INDEX('Short_TCAD'!$N$2:$N$100,MATCH(B71,'Short_TCAD'!$A$2:$A$100,0))),"",INDEX('Short_TCAD'!$N$2:$N$100,MATCH(B71,'Short_TCAD'!$A$2:$A$100,0))),"")</x:f>
        <x:v>1.218e-7</x:v>
      </x:c>
      <x:c r="AC71" s="95" t="n">
        <x:f>IF(OR(NOT(ISNUMBER(AA71)),NOT(ISNUMBER(AB71))),"",AA71/AB71)</x:f>
        <x:v>14646.96223316913</x:v>
      </x:c>
      <x:c r="AD71" s="93" t="n">
        <x:f>IF(NOT(ISNUMBER(Y71)),"",ABS(Y71-T71)*1000)</x:f>
        <x:v>47.87666666666668</x:v>
      </x:c>
      <x:c r="AE71" s="93" t="n">
        <x:f>IF(NOT(ISNUMBER(Z71)),"",ABS(Z71-U71))</x:f>
        <x:v>25.97338467295691</x:v>
      </x:c>
      <x:c r="AF71" s="93" t="n">
        <x:f>IF(NOT(ISNUMBER(AA71)),"",ABS(LOG10(AA71)-LOG10(V71)))</x:f>
        <x:v>0.16061454202808</x:v>
      </x:c>
      <x:c r="AG71" s="93" t="n">
        <x:f>IF(NOT(ISNUMBER(AB71)),"",ABS(LOG10(AB71)-LOG10(W71)))</x:f>
        <x:v>3.36610329676906</x:v>
      </x:c>
      <x:c r="AH71" s="93" t="n">
        <x:f>IF(NOT(ISNUMBER(AC71)),"",ABS(LOG10(AC71)-LOG10(X71)))</x:f>
        <x:v>3.20548875474093</x:v>
      </x:c>
      <x:c r="AI71" s="85" t="str">
        <x:f>IF(OR(NOT(ISNUMBER(Y71)),NOT(ISNUMBER(Z71)),NOT(ISNUMBER(AA71)),NOT(ISNUMBER(AB71))),"",IF(AND(Y71&gt;=0.3,Y71&lt;=1.2,Z71&lt;=200,AA71&gt;=1E-4,AB71&lt;=1E-6),"PASS","FAIL"))</x:f>
        <x:v>PASS</x:v>
      </x:c>
      <x:c r="AJ71" s="85" t="str"/>
    </x:row>
    <x:row r="72">
      <x:c r="A72" s="85" t="str">
        <x:v>S090-21</x:v>
      </x:c>
      <x:c r="B72" s="85" t="str">
        <x:v>R070</x:v>
      </x:c>
      <x:c r="C72" s="93" t="n">
        <x:v>0.09</x:v>
      </x:c>
      <x:c r="D72" s="93" t="str">
        <x:v>Practical</x:v>
      </x:c>
      <x:c r="E72" s="93" t="n">
        <x:v>1</x:v>
      </x:c>
      <x:c r="F72" s="94" t="n">
        <x:v>2054</x:v>
      </x:c>
      <x:c r="G72" s="93" t="n">
        <x:v>1.0293700347555708</x:v>
      </x:c>
      <x:c r="H72" s="93" t="n">
        <x:v>82.32664838044619</x:v>
      </x:c>
      <x:c r="I72" s="95" t="n">
        <x:v>0.0006743263133445188</x:v>
      </x:c>
      <x:c r="J72" s="95" t="n">
        <x:v>2.310678979841606e-15</x:v>
      </x:c>
      <x:c r="K72" s="95" t="n">
        <x:v>291830375066.0955</x:v>
      </x:c>
      <x:c r="L72" s="95" t="n">
        <x:v>96893849019.713</x:v>
      </x:c>
      <x:c r="M72" s="95" t="n">
        <x:v>14.01787167985738</x:v>
      </x:c>
      <x:c r="N72" s="95" t="n">
        <x:v>378668128481679.2</x:v>
      </x:c>
      <x:c r="O72" s="95" t="n">
        <x:v>10.062622778689846</x:v>
      </x:c>
      <x:c r="P72" s="93" t="n">
        <x:v>0.45063035916190697</x:v>
      </x:c>
      <x:c r="Q72" s="95" t="n">
        <x:v>72202628989501.36</x:v>
      </x:c>
      <x:c r="R72" s="95" t="n">
        <x:v>8.253611935022134</x:v>
      </x:c>
      <x:c r="S72" s="97" t="n">
        <x:v>0.97</x:v>
      </x:c>
      <x:c r="T72" s="93" t="n">
        <x:v>0.9637366666666671</x:v>
      </x:c>
      <x:c r="U72" s="98" t="n">
        <x:v>89.66507963697836</x:v>
      </x:c>
      <x:c r="V72" s="95" t="n">
        <x:v>0.0006110999148701851</x:v>
      </x:c>
      <x:c r="W72" s="95" t="n">
        <x:v>2.1894403583508365e-15</x:v>
      </x:c>
      <x:c r="X72" s="95" t="n">
        <x:v>279112382549.88916</x:v>
      </x:c>
      <x:c r="Y72" s="99" t="n">
        <x:f>IFERROR(IF(ISBLANK(INDEX('Short_TCAD'!$K$2:$K$100,MATCH(B72,'Short_TCAD'!$A$2:$A$100,0))),"",INDEX('Short_TCAD'!$K$2:$K$100,MATCH(B72,'Short_TCAD'!$A$2:$A$100,0))),"")</x:f>
        <x:v>0.876</x:v>
      </x:c>
      <x:c r="Z72" s="100" t="n">
        <x:f>IFERROR(IF(ISBLANK(INDEX('Short_TCAD'!$L$2:$L$100,MATCH(B72,'Short_TCAD'!$A$2:$A$100,0))),"",INDEX('Short_TCAD'!$L$2:$L$100,MATCH(B72,'Short_TCAD'!$A$2:$A$100,0))),"")</x:f>
        <x:v>82.427</x:v>
      </x:c>
      <x:c r="AA72" s="96" t="n">
        <x:f>IFERROR(IF(ISBLANK(INDEX('Short_TCAD'!$M$2:$M$100,MATCH(B72,'Short_TCAD'!$A$2:$A$100,0))),"",INDEX('Short_TCAD'!$M$2:$M$100,MATCH(B72,'Short_TCAD'!$A$2:$A$100,0))),"")</x:f>
        <x:v>0.001063</x:v>
      </x:c>
      <x:c r="AB72" s="96" t="n">
        <x:f>IFERROR(IF(ISBLANK(INDEX('Short_TCAD'!$N$2:$N$100,MATCH(B72,'Short_TCAD'!$A$2:$A$100,0))),"",INDEX('Short_TCAD'!$N$2:$N$100,MATCH(B72,'Short_TCAD'!$A$2:$A$100,0))),"")</x:f>
        <x:v>1.465e-15</x:v>
      </x:c>
      <x:c r="AC72" s="95" t="n">
        <x:f>IF(OR(NOT(ISNUMBER(AA72)),NOT(ISNUMBER(AB72))),"",AA72/AB72)</x:f>
        <x:v>725597269624.5734</x:v>
      </x:c>
      <x:c r="AD72" s="93" t="n">
        <x:f>IF(NOT(ISNUMBER(Y72)),"",ABS(Y72-T72)*1000)</x:f>
        <x:v>87.73666666666713</x:v>
      </x:c>
      <x:c r="AE72" s="93" t="n">
        <x:f>IF(NOT(ISNUMBER(Z72)),"",ABS(Z72-U72))</x:f>
        <x:v>7.238079636978355</x:v>
      </x:c>
      <x:c r="AF72" s="93" t="n">
        <x:f>IF(NOT(ISNUMBER(AA72)),"",ABS(LOG10(AA72)-LOG10(V72)))</x:f>
        <x:v>0.2404210413032497</x:v>
      </x:c>
      <x:c r="AG72" s="93" t="n">
        <x:f>IF(NOT(ISNUMBER(AB72)),"",ABS(LOG10(AB72)-LOG10(W72)))</x:f>
        <x:v>0.1744954945608992</x:v>
      </x:c>
      <x:c r="AH72" s="93" t="n">
        <x:f>IF(NOT(ISNUMBER(AC72)),"",ABS(LOG10(AC72)-LOG10(X72)))</x:f>
        <x:v>0.4149165358640996</x:v>
      </x:c>
      <x:c r="AI72" s="85" t="str">
        <x:f>IF(OR(NOT(ISNUMBER(Y72)),NOT(ISNUMBER(Z72)),NOT(ISNUMBER(AA72)),NOT(ISNUMBER(AB72))),"",IF(AND(Y72&gt;=0.3,Y72&lt;=1.2,Z72&lt;=200,AA72&gt;=1E-4,AB72&lt;=1E-6),"PASS","FAIL"))</x:f>
        <x:v>PASS</x:v>
      </x:c>
      <x:c r="AJ72" s="85" t="str"/>
    </x:row>
    <x:row r="73">
      <x:c r="A73" s="85" t="str">
        <x:v>S090-22</x:v>
      </x:c>
      <x:c r="B73" s="85" t="str">
        <x:v>R071</x:v>
      </x:c>
      <x:c r="C73" s="93" t="n">
        <x:v>0.09</x:v>
      </x:c>
      <x:c r="D73" s="93" t="str">
        <x:v>Practical</x:v>
      </x:c>
      <x:c r="E73" s="93" t="n">
        <x:v>1</x:v>
      </x:c>
      <x:c r="F73" s="94" t="n">
        <x:v>17891</x:v>
      </x:c>
      <x:c r="G73" s="93" t="n">
        <x:v>0.5520095485768625</x:v>
      </x:c>
      <x:c r="H73" s="93" t="n">
        <x:v>74.487</x:v>
      </x:c>
      <x:c r="I73" s="95" t="n">
        <x:v>0.0008165945083532291</x:v>
      </x:c>
      <x:c r="J73" s="95" t="n">
        <x:v>1.40821960000791e-9</x:v>
      </x:c>
      <x:c r="K73" s="95" t="n">
        <x:v>579877.249506144</x:v>
      </x:c>
      <x:c r="L73" s="95" t="n">
        <x:v>22589756497.381306</x:v>
      </x:c>
      <x:c r="M73" s="95" t="n">
        <x:v>13.102374242294998</x:v>
      </x:c>
      <x:c r="N73" s="95" t="n">
        <x:v>40425882388410.86</x:v>
      </x:c>
      <x:c r="O73" s="95" t="n">
        <x:v>9.011547555879485</x:v>
      </x:c>
      <x:c r="P73" s="93" t="n">
        <x:v>0.10979993921744527</x:v>
      </x:c>
      <x:c r="Q73" s="95" t="n">
        <x:v>1839364555119.35</x:v>
      </x:c>
      <x:c r="R73" s="95" t="n">
        <x:v>5.949305638878018</x:v>
      </x:c>
      <x:c r="S73" s="97" t="n">
        <x:v>0.9566666666666667</x:v>
      </x:c>
      <x:c r="T73" s="93" t="n">
        <x:v>0.5192900000000025</x:v>
      </x:c>
      <x:c r="U73" s="98" t="n">
        <x:v>73.73230149866427</x:v>
      </x:c>
      <x:c r="V73" s="95" t="n">
        <x:v>0.000673496879988657</x:v>
      </x:c>
      <x:c r="W73" s="95" t="n">
        <x:v>1.4258501867486918e-9</x:v>
      </x:c>
      <x:c r="X73" s="95" t="n">
        <x:v>472347.5763778554</x:v>
      </x:c>
      <x:c r="Y73" s="99" t="n">
        <x:f>IFERROR(IF(ISBLANK(INDEX('Short_TCAD'!$K$2:$K$100,MATCH(B73,'Short_TCAD'!$A$2:$A$100,0))),"",INDEX('Short_TCAD'!$K$2:$K$100,MATCH(B73,'Short_TCAD'!$A$2:$A$100,0))),"")</x:f>
        <x:v>0.537</x:v>
      </x:c>
      <x:c r="Z73" s="100" t="n">
        <x:f>IFERROR(IF(ISBLANK(INDEX('Short_TCAD'!$L$2:$L$100,MATCH(B73,'Short_TCAD'!$A$2:$A$100,0))),"",INDEX('Short_TCAD'!$L$2:$L$100,MATCH(B73,'Short_TCAD'!$A$2:$A$100,0))),"")</x:f>
        <x:v>74.112</x:v>
      </x:c>
      <x:c r="AA73" s="96" t="n">
        <x:f>IFERROR(IF(ISBLANK(INDEX('Short_TCAD'!$M$2:$M$100,MATCH(B73,'Short_TCAD'!$A$2:$A$100,0))),"",INDEX('Short_TCAD'!$M$2:$M$100,MATCH(B73,'Short_TCAD'!$A$2:$A$100,0))),"")</x:f>
        <x:v>0.0007741</x:v>
      </x:c>
      <x:c r="AB73" s="96" t="n">
        <x:f>IFERROR(IF(ISBLANK(INDEX('Short_TCAD'!$N$2:$N$100,MATCH(B73,'Short_TCAD'!$A$2:$A$100,0))),"",INDEX('Short_TCAD'!$N$2:$N$100,MATCH(B73,'Short_TCAD'!$A$2:$A$100,0))),"")</x:f>
        <x:v>3.167e-12</x:v>
      </x:c>
      <x:c r="AC73" s="95" t="n">
        <x:f>IF(OR(NOT(ISNUMBER(AA73)),NOT(ISNUMBER(AB73))),"",AA73/AB73)</x:f>
        <x:v>244426902.43132302</x:v>
      </x:c>
      <x:c r="AD73" s="93" t="n">
        <x:f>IF(NOT(ISNUMBER(Y73)),"",ABS(Y73-T73)*1000)</x:f>
        <x:v>17.70999999999756</x:v>
      </x:c>
      <x:c r="AE73" s="93" t="n">
        <x:f>IF(NOT(ISNUMBER(Z73)),"",ABS(Z73-U73))</x:f>
        <x:v>0.37969850133572436</x:v>
      </x:c>
      <x:c r="AF73" s="93" t="n">
        <x:f>IF(NOT(ISNUMBER(AA73)),"",ABS(LOG10(AA73)-LOG10(V73)))</x:f>
        <x:v>0.060461479286090025</x:v>
      </x:c>
      <x:c r="AG73" s="93" t="n">
        <x:f>IF(NOT(ISNUMBER(AB73)),"",ABS(LOG10(AB73)-LOG10(W73)))</x:f>
        <x:v>2.6534258334719194</x:v>
      </x:c>
      <x:c r="AH73" s="93" t="n">
        <x:f>IF(NOT(ISNUMBER(AC73)),"",ABS(LOG10(AC73)-LOG10(X73)))</x:f>
        <x:v>2.7138873127580005</x:v>
      </x:c>
      <x:c r="AI73" s="85" t="str">
        <x:f>IF(OR(NOT(ISNUMBER(Y73)),NOT(ISNUMBER(Z73)),NOT(ISNUMBER(AA73)),NOT(ISNUMBER(AB73))),"",IF(AND(Y73&gt;=0.3,Y73&lt;=1.2,Z73&lt;=200,AA73&gt;=1E-4,AB73&lt;=1E-6),"PASS","FAIL"))</x:f>
        <x:v>PASS</x:v>
      </x:c>
      <x:c r="AJ73" s="85" t="str"/>
    </x:row>
    <x:row r="74">
      <x:c r="A74" s="85" t="str">
        <x:v>S090-23</x:v>
      </x:c>
      <x:c r="B74" s="85" t="str">
        <x:v>R072</x:v>
      </x:c>
      <x:c r="C74" s="93" t="n">
        <x:v>0.09</x:v>
      </x:c>
      <x:c r="D74" s="93" t="str">
        <x:v>Practical</x:v>
      </x:c>
      <x:c r="E74" s="93" t="n">
        <x:v>1</x:v>
      </x:c>
      <x:c r="F74" s="94" t="n">
        <x:v>531</x:v>
      </x:c>
      <x:c r="G74" s="93" t="n">
        <x:v>0.7709070823442136</x:v>
      </x:c>
      <x:c r="H74" s="93" t="n">
        <x:v>79.01779162765158</x:v>
      </x:c>
      <x:c r="I74" s="95" t="n">
        <x:v>0.000683410700202415</x:v>
      </x:c>
      <x:c r="J74" s="95" t="n">
        <x:v>4.404798660213907e-12</x:v>
      </x:c>
      <x:c r="K74" s="95" t="n">
        <x:v>155151404.84746403</x:v>
      </x:c>
      <x:c r="L74" s="95" t="n">
        <x:v>30113120815.980972</x:v>
      </x:c>
      <x:c r="M74" s="95" t="n">
        <x:v>8.166508072540267</x:v>
      </x:c>
      <x:c r="N74" s="95" t="n">
        <x:v>76463815013560.05</x:v>
      </x:c>
      <x:c r="O74" s="95" t="n">
        <x:v>10.052952708304499</x:v>
      </x:c>
      <x:c r="P74" s="93" t="n">
        <x:v>0.10772699988221249</x:v>
      </x:c>
      <x:c r="Q74" s="95" t="n">
        <x:v>12130573381633.826</x:v>
      </x:c>
      <x:c r="R74" s="95" t="n">
        <x:v>3.064547224886895</x:v>
      </x:c>
      <x:c r="S74" s="97" t="n">
        <x:v>0.88</x:v>
      </x:c>
      <x:c r="T74" s="93" t="n">
        <x:v>0.7511166666666693</x:v>
      </x:c>
      <x:c r="U74" s="98" t="n">
        <x:v>83.88628437918939</x:v>
      </x:c>
      <x:c r="V74" s="95" t="n">
        <x:v>0.0006293319372737058</x:v>
      </x:c>
      <x:c r="W74" s="95" t="n">
        <x:v>4.5184792651727804e-12</x:v>
      </x:c>
      <x:c r="X74" s="95" t="n">
        <x:v>139279589.51243323</x:v>
      </x:c>
      <x:c r="Y74" s="99" t="n">
        <x:f>IFERROR(IF(ISBLANK(INDEX('Short_TCAD'!$K$2:$K$100,MATCH(B74,'Short_TCAD'!$A$2:$A$100,0))),"",INDEX('Short_TCAD'!$K$2:$K$100,MATCH(B74,'Short_TCAD'!$A$2:$A$100,0))),"")</x:f>
        <x:v>1.081</x:v>
      </x:c>
      <x:c r="Z74" s="100" t="n">
        <x:f>IFERROR(IF(ISBLANK(INDEX('Short_TCAD'!$L$2:$L$100,MATCH(B74,'Short_TCAD'!$A$2:$A$100,0))),"",INDEX('Short_TCAD'!$L$2:$L$100,MATCH(B74,'Short_TCAD'!$A$2:$A$100,0))),"")</x:f>
        <x:v>93.132</x:v>
      </x:c>
      <x:c r="AA74" s="96" t="n">
        <x:f>IFERROR(IF(ISBLANK(INDEX('Short_TCAD'!$M$2:$M$100,MATCH(B74,'Short_TCAD'!$A$2:$A$100,0))),"",INDEX('Short_TCAD'!$M$2:$M$100,MATCH(B74,'Short_TCAD'!$A$2:$A$100,0))),"")</x:f>
        <x:v>0.0004214</x:v>
      </x:c>
      <x:c r="AB74" s="96" t="n">
        <x:f>IFERROR(IF(ISBLANK(INDEX('Short_TCAD'!$N$2:$N$100,MATCH(B74,'Short_TCAD'!$A$2:$A$100,0))),"",INDEX('Short_TCAD'!$N$2:$N$100,MATCH(B74,'Short_TCAD'!$A$2:$A$100,0))),"")</x:f>
        <x:v>6.457e-14</x:v>
      </x:c>
      <x:c r="AC74" s="95" t="n">
        <x:f>IF(OR(NOT(ISNUMBER(AA74)),NOT(ISNUMBER(AB74))),"",AA74/AB74)</x:f>
        <x:v>6526250580.765061</x:v>
      </x:c>
      <x:c r="AD74" s="93" t="n">
        <x:f>IF(NOT(ISNUMBER(Y74)),"",ABS(Y74-T74)*1000)</x:f>
        <x:v>329.88333333333065</x:v>
      </x:c>
      <x:c r="AE74" s="93" t="n">
        <x:f>IF(NOT(ISNUMBER(Z74)),"",ABS(Z74-U74))</x:f>
        <x:v>9.245715620810614</x:v>
      </x:c>
      <x:c r="AF74" s="93" t="n">
        <x:f>IF(NOT(ISNUMBER(AA74)),"",ABS(LOG10(AA74)-LOG10(V74)))</x:f>
        <x:v>0.17418524056723994</x:v>
      </x:c>
      <x:c r="AG74" s="93" t="n">
        <x:f>IF(NOT(ISNUMBER(AB74)),"",ABS(LOG10(AB74)-LOG10(W74)))</x:f>
        <x:v>1.8449615072836991</x:v>
      </x:c>
      <x:c r="AH74" s="93" t="n">
        <x:f>IF(NOT(ISNUMBER(AC74)),"",ABS(LOG10(AC74)-LOG10(X74)))</x:f>
        <x:v>1.6707762667163788</x:v>
      </x:c>
      <x:c r="AI74" s="85" t="str">
        <x:f>IF(OR(NOT(ISNUMBER(Y74)),NOT(ISNUMBER(Z74)),NOT(ISNUMBER(AA74)),NOT(ISNUMBER(AB74))),"",IF(AND(Y74&gt;=0.3,Y74&lt;=1.2,Z74&lt;=200,AA74&gt;=1E-4,AB74&lt;=1E-6),"PASS","FAIL"))</x:f>
        <x:v>PASS</x:v>
      </x:c>
      <x:c r="AJ74" s="85" t="str"/>
    </x:row>
    <x:row r="75">
      <x:c r="A75" s="85" t="str">
        <x:v>S090-24</x:v>
      </x:c>
      <x:c r="B75" s="85" t="str">
        <x:v>R073</x:v>
      </x:c>
      <x:c r="C75" s="93" t="n">
        <x:v>0.09</x:v>
      </x:c>
      <x:c r="D75" s="93" t="str">
        <x:v>Practical</x:v>
      </x:c>
      <x:c r="E75" s="93" t="n">
        <x:v>1</x:v>
      </x:c>
      <x:c r="F75" s="94" t="n">
        <x:v>6900</x:v>
      </x:c>
      <x:c r="G75" s="93" t="n">
        <x:v>0.9396372121442622</x:v>
      </x:c>
      <x:c r="H75" s="93" t="n">
        <x:v>80.73477358864668</x:v>
      </x:c>
      <x:c r="I75" s="95" t="n">
        <x:v>0.0004895850834766861</x:v>
      </x:c>
      <x:c r="J75" s="95" t="n">
        <x:v>3.2008246682254544e-15</x:v>
      </x:c>
      <x:c r="K75" s="95" t="n">
        <x:v>152955920496.6117</x:v>
      </x:c>
      <x:c r="L75" s="95" t="n">
        <x:v>84478899710.70573</x:v>
      </x:c>
      <x:c r="M75" s="95" t="n">
        <x:v>6.356254506900438</x:v>
      </x:c>
      <x:c r="N75" s="95" t="n">
        <x:v>59360998869735.59</x:v>
      </x:c>
      <x:c r="O75" s="95" t="n">
        <x:v>7.144049939529645</x:v>
      </x:c>
      <x:c r="P75" s="93" t="n">
        <x:v>0.19581075322481734</x:v>
      </x:c>
      <x:c r="Q75" s="95" t="n">
        <x:v>7095611771097.081</x:v>
      </x:c>
      <x:c r="R75" s="95" t="n">
        <x:v>4.552314678503431</x:v>
      </x:c>
      <x:c r="S75" s="97" t="n">
        <x:v>0.8566666666666667</x:v>
      </x:c>
      <x:c r="T75" s="93" t="n">
        <x:v>0.8993233333333304</x:v>
      </x:c>
      <x:c r="U75" s="98" t="n">
        <x:v>79.8394111978612</x:v>
      </x:c>
      <x:c r="V75" s="95" t="n">
        <x:v>0.0004761337013394053</x:v>
      </x:c>
      <x:c r="W75" s="95" t="n">
        <x:v>3.916501523762467e-15</x:v>
      </x:c>
      <x:c r="X75" s="95" t="n">
        <x:v>121571177350.6468</x:v>
      </x:c>
      <x:c r="Y75" s="99" t="n">
        <x:f>IFERROR(IF(ISBLANK(INDEX('Short_TCAD'!$K$2:$K$100,MATCH(B75,'Short_TCAD'!$A$2:$A$100,0))),"",INDEX('Short_TCAD'!$K$2:$K$100,MATCH(B75,'Short_TCAD'!$A$2:$A$100,0))),"")</x:f>
        <x:v>0.668</x:v>
      </x:c>
      <x:c r="Z75" s="100" t="n">
        <x:f>IFERROR(IF(ISBLANK(INDEX('Short_TCAD'!$L$2:$L$100,MATCH(B75,'Short_TCAD'!$A$2:$A$100,0))),"",INDEX('Short_TCAD'!$L$2:$L$100,MATCH(B75,'Short_TCAD'!$A$2:$A$100,0))),"")</x:f>
        <x:v>74.068</x:v>
      </x:c>
      <x:c r="AA75" s="96" t="n">
        <x:f>IFERROR(IF(ISBLANK(INDEX('Short_TCAD'!$M$2:$M$100,MATCH(B75,'Short_TCAD'!$A$2:$A$100,0))),"",INDEX('Short_TCAD'!$M$2:$M$100,MATCH(B75,'Short_TCAD'!$A$2:$A$100,0))),"")</x:f>
        <x:v>0.000652</x:v>
      </x:c>
      <x:c r="AB75" s="96" t="n">
        <x:f>IFERROR(IF(ISBLANK(INDEX('Short_TCAD'!$N$2:$N$100,MATCH(B75,'Short_TCAD'!$A$2:$A$100,0))),"",INDEX('Short_TCAD'!$N$2:$N$100,MATCH(B75,'Short_TCAD'!$A$2:$A$100,0))),"")</x:f>
        <x:v>4.259e-14</x:v>
      </x:c>
      <x:c r="AC75" s="95" t="n">
        <x:f>IF(OR(NOT(ISNUMBER(AA75)),NOT(ISNUMBER(AB75))),"",AA75/AB75)</x:f>
        <x:v>15308757924.3954</x:v>
      </x:c>
      <x:c r="AD75" s="93" t="n">
        <x:f>IF(NOT(ISNUMBER(Y75)),"",ABS(Y75-T75)*1000)</x:f>
        <x:v>231.32333333333034</x:v>
      </x:c>
      <x:c r="AE75" s="93" t="n">
        <x:f>IF(NOT(ISNUMBER(Z75)),"",ABS(Z75-U75))</x:f>
        <x:v>5.771411197861198</x:v>
      </x:c>
      <x:c r="AF75" s="93" t="n">
        <x:f>IF(NOT(ISNUMBER(AA75)),"",ABS(LOG10(AA75)-LOG10(V75)))</x:f>
        <x:v>0.13651867326237</x:v>
      </x:c>
      <x:c r="AG75" s="93" t="n">
        <x:f>IF(NOT(ISNUMBER(AB75)),"",ABS(LOG10(AB75)-LOG10(W75)))</x:f>
        <x:v>1.0364093402275003</x:v>
      </x:c>
      <x:c r="AH75" s="93" t="n">
        <x:f>IF(NOT(ISNUMBER(AC75)),"",ABS(LOG10(AC75)-LOG10(X75)))</x:f>
        <x:v>0.899890666965101</x:v>
      </x:c>
      <x:c r="AI75" s="85" t="str">
        <x:f>IF(OR(NOT(ISNUMBER(Y75)),NOT(ISNUMBER(Z75)),NOT(ISNUMBER(AA75)),NOT(ISNUMBER(AB75))),"",IF(AND(Y75&gt;=0.3,Y75&lt;=1.2,Z75&lt;=200,AA75&gt;=1E-4,AB75&lt;=1E-6),"PASS","FAIL"))</x:f>
        <x:v>PASS</x:v>
      </x:c>
      <x:c r="AJ75" s="85" t="str"/>
    </x:row>
    <x:row r="76">
      <x:c r="A76" s="85" t="str">
        <x:v>S090-25</x:v>
      </x:c>
      <x:c r="B76" s="85" t="str">
        <x:v>R074</x:v>
      </x:c>
      <x:c r="C76" s="93" t="n">
        <x:v>0.09</x:v>
      </x:c>
      <x:c r="D76" s="93" t="str">
        <x:v>Practical</x:v>
      </x:c>
      <x:c r="E76" s="93" t="n">
        <x:v>1</x:v>
      </x:c>
      <x:c r="F76" s="94" t="n">
        <x:v>841</x:v>
      </x:c>
      <x:c r="G76" s="93" t="n">
        <x:v>0.7428616626990294</x:v>
      </x:c>
      <x:c r="H76" s="93" t="n">
        <x:v>80.0448314885958</x:v>
      </x:c>
      <x:c r="I76" s="95" t="n">
        <x:v>0.0006519228501180511</x:v>
      </x:c>
      <x:c r="J76" s="95" t="n">
        <x:v>1.5317961961693228e-13</x:v>
      </x:c>
      <x:c r="K76" s="95" t="n">
        <x:v>4255937256.8515534</x:v>
      </x:c>
      <x:c r="L76" s="95" t="n">
        <x:v>33807426404.30022</x:v>
      </x:c>
      <x:c r="M76" s="95" t="n">
        <x:v>11.196427014702648</x:v>
      </x:c>
      <x:c r="N76" s="95" t="n">
        <x:v>139305841318391.97</x:v>
      </x:c>
      <x:c r="O76" s="95" t="n">
        <x:v>7.486946077710996</x:v>
      </x:c>
      <x:c r="P76" s="93" t="n">
        <x:v>0.45815770842849873</x:v>
      </x:c>
      <x:c r="Q76" s="95" t="n">
        <x:v>6770426777502.213</x:v>
      </x:c>
      <x:c r="R76" s="95" t="n">
        <x:v>3.2087258768159996</x:v>
      </x:c>
      <x:c r="S76" s="97" t="n">
        <x:v>0.97</x:v>
      </x:c>
      <x:c r="T76" s="93" t="n">
        <x:v>0.7375133333333299</x:v>
      </x:c>
      <x:c r="U76" s="98" t="n">
        <x:v>79.41848939682757</x:v>
      </x:c>
      <x:c r="V76" s="95" t="n">
        <x:v>0.000702120908513185</x:v>
      </x:c>
      <x:c r="W76" s="95" t="n">
        <x:v>1.507020031065909e-13</x:v>
      </x:c>
      <x:c r="X76" s="95" t="n">
        <x:v>4659001831.6915</x:v>
      </x:c>
      <x:c r="Y76" s="99" t="n">
        <x:f>IFERROR(IF(ISBLANK(INDEX('Short_TCAD'!$K$2:$K$100,MATCH(B76,'Short_TCAD'!$A$2:$A$100,0))),"",INDEX('Short_TCAD'!$K$2:$K$100,MATCH(B76,'Short_TCAD'!$A$2:$A$100,0))),"")</x:f>
        <x:v>0.572</x:v>
      </x:c>
      <x:c r="Z76" s="100" t="n">
        <x:f>IFERROR(IF(ISBLANK(INDEX('Short_TCAD'!$L$2:$L$100,MATCH(B76,'Short_TCAD'!$A$2:$A$100,0))),"",INDEX('Short_TCAD'!$L$2:$L$100,MATCH(B76,'Short_TCAD'!$A$2:$A$100,0))),"")</x:f>
        <x:v>78.409</x:v>
      </x:c>
      <x:c r="AA76" s="96" t="n">
        <x:f>IFERROR(IF(ISBLANK(INDEX('Short_TCAD'!$M$2:$M$100,MATCH(B76,'Short_TCAD'!$A$2:$A$100,0))),"",INDEX('Short_TCAD'!$M$2:$M$100,MATCH(B76,'Short_TCAD'!$A$2:$A$100,0))),"")</x:f>
        <x:v>0.001002</x:v>
      </x:c>
      <x:c r="AB76" s="96" t="n">
        <x:f>IFERROR(IF(ISBLANK(INDEX('Short_TCAD'!$N$2:$N$100,MATCH(B76,'Short_TCAD'!$A$2:$A$100,0))),"",INDEX('Short_TCAD'!$N$2:$N$100,MATCH(B76,'Short_TCAD'!$A$2:$A$100,0))),"")</x:f>
        <x:v>2.924e-11</x:v>
      </x:c>
      <x:c r="AC76" s="95" t="n">
        <x:f>IF(OR(NOT(ISNUMBER(AA76)),NOT(ISNUMBER(AB76))),"",AA76/AB76)</x:f>
        <x:v>34268125.854993165</x:v>
      </x:c>
      <x:c r="AD76" s="93" t="n">
        <x:f>IF(NOT(ISNUMBER(Y76)),"",ABS(Y76-T76)*1000)</x:f>
        <x:v>165.51333333332997</x:v>
      </x:c>
      <x:c r="AE76" s="93" t="n">
        <x:f>IF(NOT(ISNUMBER(Z76)),"",ABS(Z76-U76))</x:f>
        <x:v>1.0094893968275613</x:v>
      </x:c>
      <x:c r="AF76" s="93" t="n">
        <x:f>IF(NOT(ISNUMBER(AA76)),"",ABS(LOG10(AA76)-LOG10(V76)))</x:f>
        <x:v>0.1544558154148099</x:v>
      </x:c>
      <x:c r="AG76" s="93" t="n">
        <x:f>IF(NOT(ISNUMBER(AB76)),"",ABS(LOG10(AB76)-LOG10(W76)))</x:f>
        <x:v>2.287858343361</x:v>
      </x:c>
      <x:c r="AH76" s="93" t="n">
        <x:f>IF(NOT(ISNUMBER(AC76)),"",ABS(LOG10(AC76)-LOG10(X76)))</x:f>
        <x:v>2.13340252794619</x:v>
      </x:c>
      <x:c r="AI76" s="85" t="str">
        <x:f>IF(OR(NOT(ISNUMBER(Y76)),NOT(ISNUMBER(Z76)),NOT(ISNUMBER(AA76)),NOT(ISNUMBER(AB76))),"",IF(AND(Y76&gt;=0.3,Y76&lt;=1.2,Z76&lt;=200,AA76&gt;=1E-4,AB76&lt;=1E-6),"PASS","FAIL"))</x:f>
        <x:v>PASS</x:v>
      </x:c>
      <x:c r="AJ76" s="85" t="str"/>
    </x:row>
    <x:row r="77">
      <x:c r="A77" s="85" t="str">
        <x:v>S090-26</x:v>
      </x:c>
      <x:c r="B77" s="85" t="str">
        <x:v>R075</x:v>
      </x:c>
      <x:c r="C77" s="93" t="n">
        <x:v>0.09</x:v>
      </x:c>
      <x:c r="D77" s="93" t="str">
        <x:v>Practical</x:v>
      </x:c>
      <x:c r="E77" s="93" t="n">
        <x:v>1</x:v>
      </x:c>
      <x:c r="F77" s="94" t="n">
        <x:v>2147</x:v>
      </x:c>
      <x:c r="G77" s="93" t="n">
        <x:v>0.6687260376036014</x:v>
      </x:c>
      <x:c r="H77" s="93" t="n">
        <x:v>74.487</x:v>
      </x:c>
      <x:c r="I77" s="95" t="n">
        <x:v>0.0005466991316251252</x:v>
      </x:c>
      <x:c r="J77" s="95" t="n">
        <x:v>8.205649731884082e-15</x:v>
      </x:c>
      <x:c r="K77" s="95" t="n">
        <x:v>66624721927.97324</x:v>
      </x:c>
      <x:c r="L77" s="95" t="n">
        <x:v>19085522501.49686</x:v>
      </x:c>
      <x:c r="M77" s="95" t="n">
        <x:v>6.721364816431198</x:v>
      </x:c>
      <x:c r="N77" s="95" t="n">
        <x:v>69291692620215.99</x:v>
      </x:c>
      <x:c r="O77" s="95" t="n">
        <x:v>9.19520405522051</x:v>
      </x:c>
      <x:c r="P77" s="93" t="n">
        <x:v>0.10488054119974799</x:v>
      </x:c>
      <x:c r="Q77" s="95" t="n">
        <x:v>6634903134665.553</x:v>
      </x:c>
      <x:c r="R77" s="95" t="n">
        <x:v>8.538580745255134</x:v>
      </x:c>
      <x:c r="S77" s="97" t="n">
        <x:v>0.9666666666666667</x:v>
      </x:c>
      <x:c r="T77" s="93" t="n">
        <x:v>0.6827133333333344</x:v>
      </x:c>
      <x:c r="U77" s="98" t="n">
        <x:v>75.97405880469061</x:v>
      </x:c>
      <x:c r="V77" s="95" t="n">
        <x:v>0.0005828215997338463</x:v>
      </x:c>
      <x:c r="W77" s="95" t="n">
        <x:v>8.37818510953489e-15</x:v>
      </x:c>
      <x:c r="X77" s="95" t="n">
        <x:v>69564182709.51778</x:v>
      </x:c>
      <x:c r="Y77" s="99" t="n">
        <x:f>IFERROR(IF(ISBLANK(INDEX('Short_TCAD'!$K$2:$K$100,MATCH(B77,'Short_TCAD'!$A$2:$A$100,0))),"",INDEX('Short_TCAD'!$K$2:$K$100,MATCH(B77,'Short_TCAD'!$A$2:$A$100,0))),"")</x:f>
        <x:v>0.6</x:v>
      </x:c>
      <x:c r="Z77" s="100" t="n">
        <x:f>IFERROR(IF(ISBLANK(INDEX('Short_TCAD'!$L$2:$L$100,MATCH(B77,'Short_TCAD'!$A$2:$A$100,0))),"",INDEX('Short_TCAD'!$L$2:$L$100,MATCH(B77,'Short_TCAD'!$A$2:$A$100,0))),"")</x:f>
        <x:v>72.259</x:v>
      </x:c>
      <x:c r="AA77" s="96" t="n">
        <x:f>IFERROR(IF(ISBLANK(INDEX('Short_TCAD'!$M$2:$M$100,MATCH(B77,'Short_TCAD'!$A$2:$A$100,0))),"",INDEX('Short_TCAD'!$M$2:$M$100,MATCH(B77,'Short_TCAD'!$A$2:$A$100,0))),"")</x:f>
        <x:v>0.0008197</x:v>
      </x:c>
      <x:c r="AB77" s="96" t="n">
        <x:f>IFERROR(IF(ISBLANK(INDEX('Short_TCAD'!$N$2:$N$100,MATCH(B77,'Short_TCAD'!$A$2:$A$100,0))),"",INDEX('Short_TCAD'!$N$2:$N$100,MATCH(B77,'Short_TCAD'!$A$2:$A$100,0))),"")</x:f>
        <x:v>1.36e-13</x:v>
      </x:c>
      <x:c r="AC77" s="95" t="n">
        <x:f>IF(OR(NOT(ISNUMBER(AA77)),NOT(ISNUMBER(AB77))),"",AA77/AB77)</x:f>
        <x:v>6027205882.3529415</x:v>
      </x:c>
      <x:c r="AD77" s="93" t="n">
        <x:f>IF(NOT(ISNUMBER(Y77)),"",ABS(Y77-T77)*1000)</x:f>
        <x:v>82.71333333333442</x:v>
      </x:c>
      <x:c r="AE77" s="93" t="n">
        <x:f>IF(NOT(ISNUMBER(Z77)),"",ABS(Z77-U77))</x:f>
        <x:v>3.7150588046906137</x:v>
      </x:c>
      <x:c r="AF77" s="93" t="n">
        <x:f>IF(NOT(ISNUMBER(AA77)),"",ABS(LOG10(AA77)-LOG10(V77)))</x:f>
        <x:v>0.14811929646465982</x:v>
      </x:c>
      <x:c r="AG77" s="93" t="n">
        <x:f>IF(NOT(ISNUMBER(AB77)),"",ABS(LOG10(AB77)-LOG10(W77)))</x:f>
        <x:v>1.2103889568375</x:v>
      </x:c>
      <x:c r="AH77" s="93" t="n">
        <x:f>IF(NOT(ISNUMBER(AC77)),"",ABS(LOG10(AC77)-LOG10(X77)))</x:f>
        <x:v>1.0622696603729</x:v>
      </x:c>
      <x:c r="AI77" s="85" t="str">
        <x:f>IF(OR(NOT(ISNUMBER(Y77)),NOT(ISNUMBER(Z77)),NOT(ISNUMBER(AA77)),NOT(ISNUMBER(AB77))),"",IF(AND(Y77&gt;=0.3,Y77&lt;=1.2,Z77&lt;=200,AA77&gt;=1E-4,AB77&lt;=1E-6),"PASS","FAIL"))</x:f>
        <x:v>PASS</x:v>
      </x:c>
      <x:c r="AJ77" s="85" t="str"/>
    </x:row>
    <x:row r="78">
      <x:c r="A78" s="85" t="str">
        <x:v>S090-27</x:v>
      </x:c>
      <x:c r="B78" s="85" t="str">
        <x:v>R076</x:v>
      </x:c>
      <x:c r="C78" s="93" t="n">
        <x:v>0.09</x:v>
      </x:c>
      <x:c r="D78" s="93" t="str">
        <x:v>Practical</x:v>
      </x:c>
      <x:c r="E78" s="93" t="n">
        <x:v>1</x:v>
      </x:c>
      <x:c r="F78" s="94" t="n">
        <x:v>2645</x:v>
      </x:c>
      <x:c r="G78" s="93" t="n">
        <x:v>0.5763359582045219</x:v>
      </x:c>
      <x:c r="H78" s="93" t="n">
        <x:v>75.46474636951879</x:v>
      </x:c>
      <x:c r="I78" s="95" t="n">
        <x:v>0.0009728055106871528</x:v>
      </x:c>
      <x:c r="J78" s="95" t="n">
        <x:v>5.3441816327170625e-12</x:v>
      </x:c>
      <x:c r="K78" s="95" t="n">
        <x:v>182030772.4444919</x:v>
      </x:c>
      <x:c r="L78" s="95" t="n">
        <x:v>58097757467.46104</x:v>
      </x:c>
      <x:c r="M78" s="95" t="n">
        <x:v>9.029028493954318</x:v>
      </x:c>
      <x:c r="N78" s="95" t="n">
        <x:v>81443143698055.48</x:v>
      </x:c>
      <x:c r="O78" s="95" t="n">
        <x:v>11.353442562155351</x:v>
      </x:c>
      <x:c r="P78" s="93" t="n">
        <x:v>0.27864544747364145</x:v>
      </x:c>
      <x:c r="Q78" s="95" t="n">
        <x:v>14773181237275.354</x:v>
      </x:c>
      <x:c r="R78" s="95" t="n">
        <x:v>8.956382091964329</x:v>
      </x:c>
      <x:c r="S78" s="97" t="n">
        <x:v>0.9966666666666667</x:v>
      </x:c>
      <x:c r="T78" s="93" t="n">
        <x:v>0.5703733333333334</x:v>
      </x:c>
      <x:c r="U78" s="98" t="n">
        <x:v>76.02798072689448</x:v>
      </x:c>
      <x:c r="V78" s="95" t="n">
        <x:v>0.0009968773557141888</x:v>
      </x:c>
      <x:c r="W78" s="95" t="n">
        <x:v>5.863691656412777e-12</x:v>
      </x:c>
      <x:c r="X78" s="95" t="n">
        <x:v>170008488.53025246</x:v>
      </x:c>
      <x:c r="Y78" s="99" t="n">
        <x:f>IFERROR(IF(ISBLANK(INDEX('Short_TCAD'!$K$2:$K$100,MATCH(B78,'Short_TCAD'!$A$2:$A$100,0))),"",INDEX('Short_TCAD'!$K$2:$K$100,MATCH(B78,'Short_TCAD'!$A$2:$A$100,0))),"")</x:f>
        <x:v>0.647</x:v>
      </x:c>
      <x:c r="Z78" s="100" t="n">
        <x:f>IFERROR(IF(ISBLANK(INDEX('Short_TCAD'!$L$2:$L$100,MATCH(B78,'Short_TCAD'!$A$2:$A$100,0))),"",INDEX('Short_TCAD'!$L$2:$L$100,MATCH(B78,'Short_TCAD'!$A$2:$A$100,0))),"")</x:f>
        <x:v>73.394</x:v>
      </x:c>
      <x:c r="AA78" s="96" t="n">
        <x:f>IFERROR(IF(ISBLANK(INDEX('Short_TCAD'!$M$2:$M$100,MATCH(B78,'Short_TCAD'!$A$2:$A$100,0))),"",INDEX('Short_TCAD'!$M$2:$M$100,MATCH(B78,'Short_TCAD'!$A$2:$A$100,0))),"")</x:f>
        <x:v>0.0007649</x:v>
      </x:c>
      <x:c r="AB78" s="96" t="n">
        <x:f>IFERROR(IF(ISBLANK(INDEX('Short_TCAD'!$N$2:$N$100,MATCH(B78,'Short_TCAD'!$A$2:$A$100,0))),"",INDEX('Short_TCAD'!$N$2:$N$100,MATCH(B78,'Short_TCAD'!$A$2:$A$100,0))),"")</x:f>
        <x:v>1.369e-14</x:v>
      </x:c>
      <x:c r="AC78" s="95" t="n">
        <x:f>IF(OR(NOT(ISNUMBER(AA78)),NOT(ISNUMBER(AB78))),"",AA78/AB78)</x:f>
        <x:v>55872899926.95398</x:v>
      </x:c>
      <x:c r="AD78" s="93" t="n">
        <x:f>IF(NOT(ISNUMBER(Y78)),"",ABS(Y78-T78)*1000)</x:f>
        <x:v>76.62666666666662</x:v>
      </x:c>
      <x:c r="AE78" s="93" t="n">
        <x:f>IF(NOT(ISNUMBER(Z78)),"",ABS(Z78-U78))</x:f>
        <x:v>2.633980726894478</x:v>
      </x:c>
      <x:c r="AF78" s="93" t="n">
        <x:f>IF(NOT(ISNUMBER(AA78)),"",ABS(LOG10(AA78)-LOG10(V78)))</x:f>
        <x:v>0.1150370700945702</x:v>
      </x:c>
      <x:c r="AG78" s="93" t="n">
        <x:f>IF(NOT(ISNUMBER(AB78)),"",ABS(LOG10(AB78)-LOG10(W78)))</x:f>
        <x:v>2.6317676766232996</x:v>
      </x:c>
      <x:c r="AH78" s="93" t="n">
        <x:f>IF(NOT(ISNUMBER(AC78)),"",ABS(LOG10(AC78)-LOG10(X78)))</x:f>
        <x:v>2.51673060652878</x:v>
      </x:c>
      <x:c r="AI78" s="85" t="str">
        <x:f>IF(OR(NOT(ISNUMBER(Y78)),NOT(ISNUMBER(Z78)),NOT(ISNUMBER(AA78)),NOT(ISNUMBER(AB78))),"",IF(AND(Y78&gt;=0.3,Y78&lt;=1.2,Z78&lt;=200,AA78&gt;=1E-4,AB78&lt;=1E-6),"PASS","FAIL"))</x:f>
        <x:v>PASS</x:v>
      </x:c>
      <x:c r="AJ78" s="85" t="str"/>
    </x:row>
    <x:row r="79">
      <x:c r="A79" s="85" t="str">
        <x:v>S090-28</x:v>
      </x:c>
      <x:c r="B79" s="85" t="str">
        <x:v>R077</x:v>
      </x:c>
      <x:c r="C79" s="93" t="n">
        <x:v>0.09</x:v>
      </x:c>
      <x:c r="D79" s="93" t="str">
        <x:v>Practical</x:v>
      </x:c>
      <x:c r="E79" s="93" t="n">
        <x:v>1</x:v>
      </x:c>
      <x:c r="F79" s="94" t="n">
        <x:v>476</x:v>
      </x:c>
      <x:c r="G79" s="93" t="n">
        <x:v>0.7656723015221994</x:v>
      </x:c>
      <x:c r="H79" s="93" t="n">
        <x:v>91.63389137231677</x:v>
      </x:c>
      <x:c r="I79" s="95" t="n">
        <x:v>0.0006391837757819624</x:v>
      </x:c>
      <x:c r="J79" s="95" t="n">
        <x:v>5.113668164549695e-12</x:v>
      </x:c>
      <x:c r="K79" s="95" t="n">
        <x:v>124995161.04957278</x:v>
      </x:c>
      <x:c r="L79" s="95" t="n">
        <x:v>90511021393.38602</x:v>
      </x:c>
      <x:c r="M79" s="95" t="n">
        <x:v>12.320710091004287</x:v>
      </x:c>
      <x:c r="N79" s="95" t="n">
        <x:v>75131255795813.89</x:v>
      </x:c>
      <x:c r="O79" s="95" t="n">
        <x:v>9.94084675305742</x:v>
      </x:c>
      <x:c r="P79" s="93" t="n">
        <x:v>0.14054039542496274</x:v>
      </x:c>
      <x:c r="Q79" s="95" t="n">
        <x:v>16162484743232.19</x:v>
      </x:c>
      <x:c r="R79" s="95" t="n">
        <x:v>3.0370661395016008</x:v>
      </x:c>
      <x:c r="S79" s="97" t="n">
        <x:v>0.9833333333333333</x:v>
      </x:c>
      <x:c r="T79" s="93" t="n">
        <x:v>0.7448833333333346</x:v>
      </x:c>
      <x:c r="U79" s="98" t="n">
        <x:v>83.7166248233107</x:v>
      </x:c>
      <x:c r="V79" s="95" t="n">
        <x:v>0.0006334703233077366</x:v>
      </x:c>
      <x:c r="W79" s="95" t="n">
        <x:v>4.785655500043704e-12</x:v>
      </x:c>
      <x:c r="X79" s="95" t="n">
        <x:v>132368559.18733633</x:v>
      </x:c>
      <x:c r="Y79" s="99" t="n">
        <x:f>IFERROR(IF(ISBLANK(INDEX('Short_TCAD'!$K$2:$K$100,MATCH(B79,'Short_TCAD'!$A$2:$A$100,0))),"",INDEX('Short_TCAD'!$K$2:$K$100,MATCH(B79,'Short_TCAD'!$A$2:$A$100,0))),"")</x:f>
        <x:v>1.502</x:v>
      </x:c>
      <x:c r="Z79" s="100" t="n">
        <x:f>IFERROR(IF(ISBLANK(INDEX('Short_TCAD'!$L$2:$L$100,MATCH(B79,'Short_TCAD'!$A$2:$A$100,0))),"",INDEX('Short_TCAD'!$L$2:$L$100,MATCH(B79,'Short_TCAD'!$A$2:$A$100,0))),"")</x:f>
        <x:v>100.711</x:v>
      </x:c>
      <x:c r="AA79" s="96" t="n">
        <x:f>IFERROR(IF(ISBLANK(INDEX('Short_TCAD'!$M$2:$M$100,MATCH(B79,'Short_TCAD'!$A$2:$A$100,0))),"",INDEX('Short_TCAD'!$M$2:$M$100,MATCH(B79,'Short_TCAD'!$A$2:$A$100,0))),"")</x:f>
        <x:v>0.0002783</x:v>
      </x:c>
      <x:c r="AB79" s="96" t="n">
        <x:f>IFERROR(IF(ISBLANK(INDEX('Short_TCAD'!$N$2:$N$100,MATCH(B79,'Short_TCAD'!$A$2:$A$100,0))),"",INDEX('Short_TCAD'!$N$2:$N$100,MATCH(B79,'Short_TCAD'!$A$2:$A$100,0))),"")</x:f>
        <x:v>1.621e-15</x:v>
      </x:c>
      <x:c r="AC79" s="95" t="n">
        <x:f>IF(OR(NOT(ISNUMBER(AA79)),NOT(ISNUMBER(AB79))),"",AA79/AB79)</x:f>
        <x:v>171684145589.14252</x:v>
      </x:c>
      <x:c r="AD79" s="93" t="n">
        <x:f>IF(NOT(ISNUMBER(Y79)),"",ABS(Y79-T79)*1000)</x:f>
        <x:v>757.1166666666654</x:v>
      </x:c>
      <x:c r="AE79" s="93" t="n">
        <x:f>IF(NOT(ISNUMBER(Z79)),"",ABS(Z79-U79))</x:f>
        <x:v>16.994375176689303</x:v>
      </x:c>
      <x:c r="AF79" s="93" t="n">
        <x:f>IF(NOT(ISNUMBER(AA79)),"",ABS(LOG10(AA79)-LOG10(V79)))</x:f>
        <x:v>0.3572130676201004</x:v>
      </x:c>
      <x:c r="AG79" s="93" t="n">
        <x:f>IF(NOT(ISNUMBER(AB79)),"",ABS(LOG10(AB79)-LOG10(W79)))</x:f>
        <x:v>3.4701584174534013</x:v>
      </x:c>
      <x:c r="AH79" s="93" t="n">
        <x:f>IF(NOT(ISNUMBER(AC79)),"",ABS(LOG10(AC79)-LOG10(X79)))</x:f>
        <x:v>3.1129453498332396</x:v>
      </x:c>
      <x:c r="AI79" s="85" t="str">
        <x:f>IF(OR(NOT(ISNUMBER(Y79)),NOT(ISNUMBER(Z79)),NOT(ISNUMBER(AA79)),NOT(ISNUMBER(AB79))),"",IF(AND(Y79&gt;=0.3,Y79&lt;=1.2,Z79&lt;=200,AA79&gt;=1E-4,AB79&lt;=1E-6),"PASS","FAIL"))</x:f>
        <x:v>FAIL</x:v>
      </x:c>
      <x:c r="AJ79" s="85" t="str">
        <x:v>Practical fail: Vth</x:v>
      </x:c>
    </x:row>
    <x:row r="80">
      <x:c r="A80" s="85" t="str">
        <x:v>S090-29</x:v>
      </x:c>
      <x:c r="B80" s="85" t="str">
        <x:v>R078</x:v>
      </x:c>
      <x:c r="C80" s="93" t="n">
        <x:v>0.09</x:v>
      </x:c>
      <x:c r="D80" s="93" t="str">
        <x:v>Practical</x:v>
      </x:c>
      <x:c r="E80" s="93" t="n">
        <x:v>1</x:v>
      </x:c>
      <x:c r="F80" s="94" t="n">
        <x:v>9965</x:v>
      </x:c>
      <x:c r="G80" s="93" t="n">
        <x:v>0.5968078195162358</x:v>
      </x:c>
      <x:c r="H80" s="93" t="n">
        <x:v>76.49377142384846</x:v>
      </x:c>
      <x:c r="I80" s="95" t="n">
        <x:v>0.0009270059516316122</x:v>
      </x:c>
      <x:c r="J80" s="95" t="n">
        <x:v>1.538006222494826e-9</x:v>
      </x:c>
      <x:c r="K80" s="95" t="n">
        <x:v>602732.2504117702</x:v>
      </x:c>
      <x:c r="L80" s="95" t="n">
        <x:v>75650047768.5045</x:v>
      </x:c>
      <x:c r="M80" s="95" t="n">
        <x:v>13.699076972875194</x:v>
      </x:c>
      <x:c r="N80" s="95" t="n">
        <x:v>139880303165010.05</x:v>
      </x:c>
      <x:c r="O80" s="95" t="n">
        <x:v>14.984086359816597</x:v>
      </x:c>
      <x:c r="P80" s="93" t="n">
        <x:v>0.33256465336138996</x:v>
      </x:c>
      <x:c r="Q80" s="95" t="n">
        <x:v>10269798743990.52</x:v>
      </x:c>
      <x:c r="R80" s="95" t="n">
        <x:v>7.689181107010893</x:v>
      </x:c>
      <x:c r="S80" s="97" t="n">
        <x:v>0.9833333333333333</x:v>
      </x:c>
      <x:c r="T80" s="93" t="n">
        <x:v>0.5429433333333336</x:v>
      </x:c>
      <x:c r="U80" s="98" t="n">
        <x:v>79.91287039752977</x:v>
      </x:c>
      <x:c r="V80" s="95" t="n">
        <x:v>0.0009818793703235426</x:v>
      </x:c>
      <x:c r="W80" s="95" t="n">
        <x:v>1.5597823569088738e-9</x:v>
      </x:c>
      <x:c r="X80" s="95" t="n">
        <x:v>629497.6770152724</x:v>
      </x:c>
      <x:c r="Y80" s="99" t="n">
        <x:f>IFERROR(IF(ISBLANK(INDEX('Short_TCAD'!$K$2:$K$100,MATCH(B80,'Short_TCAD'!$A$2:$A$100,0))),"",INDEX('Short_TCAD'!$K$2:$K$100,MATCH(B80,'Short_TCAD'!$A$2:$A$100,0))),"")</x:f>
        <x:v>0.528</x:v>
      </x:c>
      <x:c r="Z80" s="100" t="n">
        <x:f>IFERROR(IF(ISBLANK(INDEX('Short_TCAD'!$L$2:$L$100,MATCH(B80,'Short_TCAD'!$A$2:$A$100,0))),"",INDEX('Short_TCAD'!$L$2:$L$100,MATCH(B80,'Short_TCAD'!$A$2:$A$100,0))),"")</x:f>
        <x:v>94.254</x:v>
      </x:c>
      <x:c r="AA80" s="96" t="n">
        <x:f>IFERROR(IF(ISBLANK(INDEX('Short_TCAD'!$M$2:$M$100,MATCH(B80,'Short_TCAD'!$A$2:$A$100,0))),"",INDEX('Short_TCAD'!$M$2:$M$100,MATCH(B80,'Short_TCAD'!$A$2:$A$100,0))),"")</x:f>
        <x:v>0.001185</x:v>
      </x:c>
      <x:c r="AB80" s="96" t="n">
        <x:f>IFERROR(IF(ISBLANK(INDEX('Short_TCAD'!$N$2:$N$100,MATCH(B80,'Short_TCAD'!$A$2:$A$100,0))),"",INDEX('Short_TCAD'!$N$2:$N$100,MATCH(B80,'Short_TCAD'!$A$2:$A$100,0))),"")</x:f>
        <x:v>5.248e-8</x:v>
      </x:c>
      <x:c r="AC80" s="95" t="n">
        <x:f>IF(OR(NOT(ISNUMBER(AA80)),NOT(ISNUMBER(AB80))),"",AA80/AB80)</x:f>
        <x:v>22580.03048780488</x:v>
      </x:c>
      <x:c r="AD80" s="93" t="n">
        <x:f>IF(NOT(ISNUMBER(Y80)),"",ABS(Y80-T80)*1000)</x:f>
        <x:v>14.94333333333353</x:v>
      </x:c>
      <x:c r="AE80" s="93" t="n">
        <x:f>IF(NOT(ISNUMBER(Z80)),"",ABS(Z80-U80))</x:f>
        <x:v>14.341129602470232</x:v>
      </x:c>
      <x:c r="AF80" s="93" t="n">
        <x:f>IF(NOT(ISNUMBER(AA80)),"",ABS(LOG10(AA80)-LOG10(V80)))</x:f>
        <x:v>0.08166021492256004</x:v>
      </x:c>
      <x:c r="AG80" s="93" t="n">
        <x:f>IF(NOT(ISNUMBER(AB80)),"",ABS(LOG10(AB80)-LOG10(W80)))</x:f>
        <x:v>1.5269298227488202</x:v>
      </x:c>
      <x:c r="AH80" s="93" t="n">
        <x:f>IF(NOT(ISNUMBER(AC80)),"",ABS(LOG10(AC80)-LOG10(X80)))</x:f>
        <x:v>1.44526960782627</x:v>
      </x:c>
      <x:c r="AI80" s="85" t="str">
        <x:f>IF(OR(NOT(ISNUMBER(Y80)),NOT(ISNUMBER(Z80)),NOT(ISNUMBER(AA80)),NOT(ISNUMBER(AB80))),"",IF(AND(Y80&gt;=0.3,Y80&lt;=1.2,Z80&lt;=200,AA80&gt;=1E-4,AB80&lt;=1E-6),"PASS","FAIL"))</x:f>
        <x:v>PASS</x:v>
      </x:c>
      <x:c r="AJ80" s="85" t="str"/>
    </x:row>
    <x:row r="81">
      <x:c r="A81" s="85" t="str">
        <x:v>S090-30</x:v>
      </x:c>
      <x:c r="B81" s="85" t="str">
        <x:v>R079</x:v>
      </x:c>
      <x:c r="C81" s="93" t="n">
        <x:v>0.09</x:v>
      </x:c>
      <x:c r="D81" s="93" t="str">
        <x:v>Practical</x:v>
      </x:c>
      <x:c r="E81" s="93" t="n">
        <x:v>1</x:v>
      </x:c>
      <x:c r="F81" s="94" t="n">
        <x:v>3052</x:v>
      </x:c>
      <x:c r="G81" s="93" t="n">
        <x:v>0.6167594562228165</x:v>
      </x:c>
      <x:c r="H81" s="93" t="n">
        <x:v>88.22224507787156</x:v>
      </x:c>
      <x:c r="I81" s="95" t="n">
        <x:v>0.0011353433640435926</x:v>
      </x:c>
      <x:c r="J81" s="95" t="n">
        <x:v>3.176418063776689e-11</x:v>
      </x:c>
      <x:c r="K81" s="95" t="n">
        <x:v>35742882.11589173</x:v>
      </x:c>
      <x:c r="L81" s="95" t="n">
        <x:v>27709960367.396587</x:v>
      </x:c>
      <x:c r="M81" s="95" t="n">
        <x:v>5.112823131973622</x:v>
      </x:c>
      <x:c r="N81" s="95" t="n">
        <x:v>933209166047984.2</x:v>
      </x:c>
      <x:c r="O81" s="95" t="n">
        <x:v>7.466755716482328</x:v>
      </x:c>
      <x:c r="P81" s="93" t="n">
        <x:v>0.45667885030366756</x:v>
      </x:c>
      <x:c r="Q81" s="95" t="n">
        <x:v>15352748371768.102</x:v>
      </x:c>
      <x:c r="R81" s="95" t="n">
        <x:v>3.8111276645268766</x:v>
      </x:c>
      <x:c r="S81" s="97" t="n">
        <x:v>0.98</x:v>
      </x:c>
      <x:c r="T81" s="93" t="n">
        <x:v>0.6005333333333323</x:v>
      </x:c>
      <x:c r="U81" s="98" t="n">
        <x:v>85.16266159644954</x:v>
      </x:c>
      <x:c r="V81" s="95" t="n">
        <x:v>0.001197840739750635</x:v>
      </x:c>
      <x:c r="W81" s="95" t="n">
        <x:v>3.2541810413301364e-11</x:v>
      </x:c>
      <x:c r="X81" s="95" t="n">
        <x:v>36809283.95001101</x:v>
      </x:c>
      <x:c r="Y81" s="99" t="n">
        <x:f>IFERROR(IF(ISBLANK(INDEX('Short_TCAD'!$K$2:$K$100,MATCH(B81,'Short_TCAD'!$A$2:$A$100,0))),"",INDEX('Short_TCAD'!$K$2:$K$100,MATCH(B81,'Short_TCAD'!$A$2:$A$100,0))),"")</x:f>
        <x:v>0.457</x:v>
      </x:c>
      <x:c r="Z81" s="100" t="n">
        <x:f>IFERROR(IF(ISBLANK(INDEX('Short_TCAD'!$L$2:$L$100,MATCH(B81,'Short_TCAD'!$A$2:$A$100,0))),"",INDEX('Short_TCAD'!$L$2:$L$100,MATCH(B81,'Short_TCAD'!$A$2:$A$100,0))),"")</x:f>
        <x:v>320.774</x:v>
      </x:c>
      <x:c r="AA81" s="96" t="n">
        <x:f>IFERROR(IF(ISBLANK(INDEX('Short_TCAD'!$M$2:$M$100,MATCH(B81,'Short_TCAD'!$A$2:$A$100,0))),"",INDEX('Short_TCAD'!$M$2:$M$100,MATCH(B81,'Short_TCAD'!$A$2:$A$100,0))),"")</x:f>
        <x:v>0.002083</x:v>
      </x:c>
      <x:c r="AB81" s="96" t="n">
        <x:f>IFERROR(IF(ISBLANK(INDEX('Short_TCAD'!$N$2:$N$100,MATCH(B81,'Short_TCAD'!$A$2:$A$100,0))),"",INDEX('Short_TCAD'!$N$2:$N$100,MATCH(B81,'Short_TCAD'!$A$2:$A$100,0))),"")</x:f>
        <x:v>0.00008599</x:v>
      </x:c>
      <x:c r="AC81" s="95" t="n">
        <x:f>IF(OR(NOT(ISNUMBER(AA81)),NOT(ISNUMBER(AB81))),"",AA81/AB81)</x:f>
        <x:v>24.22374694731946</x:v>
      </x:c>
      <x:c r="AD81" s="93" t="n">
        <x:f>IF(NOT(ISNUMBER(Y81)),"",ABS(Y81-T81)*1000)</x:f>
        <x:v>143.53333333333222</x:v>
      </x:c>
      <x:c r="AE81" s="93" t="n">
        <x:f>IF(NOT(ISNUMBER(Z81)),"",ABS(Z81-U81))</x:f>
        <x:v>235.61133840355046</x:v>
      </x:c>
      <x:c r="AF81" s="93" t="n">
        <x:f>IF(NOT(ISNUMBER(AA81)),"",ABS(LOG10(AA81)-LOG10(V81)))</x:f>
        <x:v>0.24029019016264996</x:v>
      </x:c>
      <x:c r="AG81" s="93" t="n">
        <x:f>IF(NOT(ISNUMBER(AB81)),"",ABS(LOG10(AB81)-LOG10(W81)))</x:f>
        <x:v>6.42200623837407</x:v>
      </x:c>
      <x:c r="AH81" s="93" t="n">
        <x:f>IF(NOT(ISNUMBER(AC81)),"",ABS(LOG10(AC81)-LOG10(X81)))</x:f>
        <x:v>6.18171604821144</x:v>
      </x:c>
      <x:c r="AI81" s="85" t="str">
        <x:f>IF(OR(NOT(ISNUMBER(Y81)),NOT(ISNUMBER(Z81)),NOT(ISNUMBER(AA81)),NOT(ISNUMBER(AB81))),"",IF(AND(Y81&gt;=0.3,Y81&lt;=1.2,Z81&lt;=200,AA81&gt;=1E-4,AB81&lt;=1E-6),"PASS","FAIL"))</x:f>
        <x:v>FAIL</x:v>
      </x:c>
      <x:c r="AJ81" s="85" t="str">
        <x:v>Practical fail: SS, Ioff</x:v>
      </x:c>
    </x:row>
    <x:row r="82">
      <x:c r="A82" s="85" t="str">
        <x:v>S090-31</x:v>
      </x:c>
      <x:c r="B82" s="85" t="str">
        <x:v>R080</x:v>
      </x:c>
      <x:c r="C82" s="93" t="n">
        <x:v>0.09</x:v>
      </x:c>
      <x:c r="D82" s="93" t="str">
        <x:v>Practical</x:v>
      </x:c>
      <x:c r="E82" s="93" t="n">
        <x:v>1</x:v>
      </x:c>
      <x:c r="F82" s="94" t="n">
        <x:v>10790</x:v>
      </x:c>
      <x:c r="G82" s="93" t="n">
        <x:v>0.5329731048412086</x:v>
      </x:c>
      <x:c r="H82" s="93" t="n">
        <x:v>109.21150657020705</x:v>
      </x:c>
      <x:c r="I82" s="95" t="n">
        <x:v>0.0013697571071329938</x:v>
      </x:c>
      <x:c r="J82" s="95" t="n">
        <x:v>6.544721164241188e-8</x:v>
      </x:c>
      <x:c r="K82" s="95" t="n">
        <x:v>20929.18968980716</x:v>
      </x:c>
      <x:c r="L82" s="95" t="n">
        <x:v>10262079140.803759</x:v>
      </x:c>
      <x:c r="M82" s="95" t="n">
        <x:v>7.193845801463339</x:v>
      </x:c>
      <x:c r="N82" s="95" t="n">
        <x:v>577254644946635.6</x:v>
      </x:c>
      <x:c r="O82" s="95" t="n">
        <x:v>12.66329676453254</x:v>
      </x:c>
      <x:c r="P82" s="93" t="n">
        <x:v>0.4375293735235815</x:v>
      </x:c>
      <x:c r="Q82" s="95" t="n">
        <x:v>19847230686791.293</x:v>
      </x:c>
      <x:c r="R82" s="95" t="n">
        <x:v>6.413257888690267</x:v>
      </x:c>
      <x:c r="S82" s="97" t="n">
        <x:v>0.98</x:v>
      </x:c>
      <x:c r="T82" s="93" t="n">
        <x:v>0.5232866666666678</x:v>
      </x:c>
      <x:c r="U82" s="98" t="n">
        <x:v>109.74180511980721</x:v>
      </x:c>
      <x:c r="V82" s="95" t="n">
        <x:v>0.0013618205531078821</x:v>
      </x:c>
      <x:c r="W82" s="95" t="n">
        <x:v>6.56767321101167e-8</x:v>
      </x:c>
      <x:c r="X82" s="95" t="n">
        <x:v>20735.20574721333</x:v>
      </x:c>
      <x:c r="Y82" s="99" t="n">
        <x:f>IFERROR(IF(ISBLANK(INDEX('Short_TCAD'!$K$2:$K$100,MATCH(B82,'Short_TCAD'!$A$2:$A$100,0))),"",INDEX('Short_TCAD'!$K$2:$K$100,MATCH(B82,'Short_TCAD'!$A$2:$A$100,0))),"")</x:f>
        <x:v>0.496</x:v>
      </x:c>
      <x:c r="Z82" s="100" t="n">
        <x:f>IFERROR(IF(ISBLANK(INDEX('Short_TCAD'!$L$2:$L$100,MATCH(B82,'Short_TCAD'!$A$2:$A$100,0))),"",INDEX('Short_TCAD'!$L$2:$L$100,MATCH(B82,'Short_TCAD'!$A$2:$A$100,0))),"")</x:f>
        <x:v>255.846</x:v>
      </x:c>
      <x:c r="AA82" s="96" t="n">
        <x:f>IFERROR(IF(ISBLANK(INDEX('Short_TCAD'!$M$2:$M$100,MATCH(B82,'Short_TCAD'!$A$2:$A$100,0))),"",INDEX('Short_TCAD'!$M$2:$M$100,MATCH(B82,'Short_TCAD'!$A$2:$A$100,0))),"")</x:f>
        <x:v>0.00189</x:v>
      </x:c>
      <x:c r="AB82" s="96" t="n">
        <x:f>IFERROR(IF(ISBLANK(INDEX('Short_TCAD'!$N$2:$N$100,MATCH(B82,'Short_TCAD'!$A$2:$A$100,0))),"",INDEX('Short_TCAD'!$N$2:$N$100,MATCH(B82,'Short_TCAD'!$A$2:$A$100,0))),"")</x:f>
        <x:v>0.00003812</x:v>
      </x:c>
      <x:c r="AC82" s="95" t="n">
        <x:f>IF(OR(NOT(ISNUMBER(AA82)),NOT(ISNUMBER(AB82))),"",AA82/AB82)</x:f>
        <x:v>49.580272822665265</x:v>
      </x:c>
      <x:c r="AD82" s="93" t="n">
        <x:f>IF(NOT(ISNUMBER(Y82)),"",ABS(Y82-T82)*1000)</x:f>
        <x:v>27.28666666666779</x:v>
      </x:c>
      <x:c r="AE82" s="93" t="n">
        <x:f>IF(NOT(ISNUMBER(Z82)),"",ABS(Z82-U82))</x:f>
        <x:v>146.10419488019278</x:v>
      </x:c>
      <x:c r="AF82" s="93" t="n">
        <x:f>IF(NOT(ISNUMBER(AA82)),"",ABS(LOG10(AA82)-LOG10(V82)))</x:f>
        <x:v>0.14234191974582</x:v>
      </x:c>
      <x:c r="AG82" s="93" t="n">
        <x:f>IF(NOT(ISNUMBER(AB82)),"",ABS(LOG10(AB82)-LOG10(W82)))</x:f>
        <x:v>2.7637413565919893</x:v>
      </x:c>
      <x:c r="AH82" s="93" t="n">
        <x:f>IF(NOT(ISNUMBER(AC82)),"",ABS(LOG10(AC82)-LOG10(X82)))</x:f>
        <x:v>2.62139943684616</x:v>
      </x:c>
      <x:c r="AI82" s="85" t="str">
        <x:f>IF(OR(NOT(ISNUMBER(Y82)),NOT(ISNUMBER(Z82)),NOT(ISNUMBER(AA82)),NOT(ISNUMBER(AB82))),"",IF(AND(Y82&gt;=0.3,Y82&lt;=1.2,Z82&lt;=200,AA82&gt;=1E-4,AB82&lt;=1E-6),"PASS","FAIL"))</x:f>
        <x:v>FAIL</x:v>
      </x:c>
      <x:c r="AJ82" s="85" t="str">
        <x:v>Practical fail: SS, Ioff</x:v>
      </x:c>
    </x:row>
    <x:row r="83">
      <x:c r="A83" s="85" t="str">
        <x:v>S090-32</x:v>
      </x:c>
      <x:c r="B83" s="85" t="str">
        <x:v>R081</x:v>
      </x:c>
      <x:c r="C83" s="93" t="n">
        <x:v>0.09</x:v>
      </x:c>
      <x:c r="D83" s="93" t="str">
        <x:v>Practical</x:v>
      </x:c>
      <x:c r="E83" s="93" t="n">
        <x:v>1</x:v>
      </x:c>
      <x:c r="F83" s="94" t="n">
        <x:v>4576</x:v>
      </x:c>
      <x:c r="G83" s="93" t="n">
        <x:v>0.9804831413903586</x:v>
      </x:c>
      <x:c r="H83" s="93" t="n">
        <x:v>91.0479695568684</x:v>
      </x:c>
      <x:c r="I83" s="95" t="n">
        <x:v>0.0006180248354698138</x:v>
      </x:c>
      <x:c r="J83" s="95" t="n">
        <x:v>1.648911728062363e-15</x:v>
      </x:c>
      <x:c r="K83" s="95" t="n">
        <x:v>374807714052.7438</x:v>
      </x:c>
      <x:c r="L83" s="95" t="n">
        <x:v>81914218828.97585</x:v>
      </x:c>
      <x:c r="M83" s="95" t="n">
        <x:v>10.359143331498705</x:v>
      </x:c>
      <x:c r="N83" s="95" t="n">
        <x:v>356397068862733.44</x:v>
      </x:c>
      <x:c r="O83" s="95" t="n">
        <x:v>9.476754466351464</x:v>
      </x:c>
      <x:c r="P83" s="93" t="n">
        <x:v>0.44080434947311103</x:v>
      </x:c>
      <x:c r="Q83" s="95" t="n">
        <x:v>68058736513727.7</x:v>
      </x:c>
      <x:c r="R83" s="95" t="n">
        <x:v>8.066282439403869</x:v>
      </x:c>
      <x:c r="S83" s="97" t="n">
        <x:v>0.9666666666666667</x:v>
      </x:c>
      <x:c r="T83" s="93" t="n">
        <x:v>0.9668500000000002</x:v>
      </x:c>
      <x:c r="U83" s="98" t="n">
        <x:v>89.79887542202074</x:v>
      </x:c>
      <x:c r="V83" s="95" t="n">
        <x:v>0.0005566244019438918</x:v>
      </x:c>
      <x:c r="W83" s="95" t="n">
        <x:v>1.885191369327105e-15</x:v>
      </x:c>
      <x:c r="X83" s="95" t="n">
        <x:v>295261484324.83636</x:v>
      </x:c>
      <x:c r="Y83" s="99" t="n">
        <x:f>IFERROR(IF(ISBLANK(INDEX('Short_TCAD'!$K$2:$K$100,MATCH(B83,'Short_TCAD'!$A$2:$A$100,0))),"",INDEX('Short_TCAD'!$K$2:$K$100,MATCH(B83,'Short_TCAD'!$A$2:$A$100,0))),"")</x:f>
        <x:v>0.906</x:v>
      </x:c>
      <x:c r="Z83" s="100" t="n">
        <x:f>IFERROR(IF(ISBLANK(INDEX('Short_TCAD'!$L$2:$L$100,MATCH(B83,'Short_TCAD'!$A$2:$A$100,0))),"",INDEX('Short_TCAD'!$L$2:$L$100,MATCH(B83,'Short_TCAD'!$A$2:$A$100,0))),"")</x:f>
        <x:v>84.184</x:v>
      </x:c>
      <x:c r="AA83" s="96" t="n">
        <x:f>IFERROR(IF(ISBLANK(INDEX('Short_TCAD'!$M$2:$M$100,MATCH(B83,'Short_TCAD'!$A$2:$A$100,0))),"",INDEX('Short_TCAD'!$M$2:$M$100,MATCH(B83,'Short_TCAD'!$A$2:$A$100,0))),"")</x:f>
        <x:v>0.0009576</x:v>
      </x:c>
      <x:c r="AB83" s="96" t="n">
        <x:f>IFERROR(IF(ISBLANK(INDEX('Short_TCAD'!$N$2:$N$100,MATCH(B83,'Short_TCAD'!$A$2:$A$100,0))),"",INDEX('Short_TCAD'!$N$2:$N$100,MATCH(B83,'Short_TCAD'!$A$2:$A$100,0))),"")</x:f>
        <x:v>1.326e-15</x:v>
      </x:c>
      <x:c r="AC83" s="95" t="n">
        <x:f>IF(OR(NOT(ISNUMBER(AA83)),NOT(ISNUMBER(AB83))),"",AA83/AB83)</x:f>
        <x:v>722171945701.3574</x:v>
      </x:c>
      <x:c r="AD83" s="93" t="n">
        <x:f>IF(NOT(ISNUMBER(Y83)),"",ABS(Y83-T83)*1000)</x:f>
        <x:v>60.85000000000018</x:v>
      </x:c>
      <x:c r="AE83" s="93" t="n">
        <x:f>IF(NOT(ISNUMBER(Z83)),"",ABS(Z83-U83))</x:f>
        <x:v>5.614875422020745</x:v>
      </x:c>
      <x:c r="AF83" s="93" t="n">
        <x:f>IF(NOT(ISNUMBER(AA83)),"",ABS(LOG10(AA83)-LOG10(V83)))</x:f>
        <x:v>0.23562189587951998</x:v>
      </x:c>
      <x:c r="AG83" s="93" t="n">
        <x:f>IF(NOT(ISNUMBER(AB83)),"",ABS(LOG10(AB83)-LOG10(W83)))</x:f>
        <x:v>0.1528119187617012</x:v>
      </x:c>
      <x:c r="AH83" s="93" t="n">
        <x:f>IF(NOT(ISNUMBER(AC83)),"",ABS(LOG10(AC83)-LOG10(X83)))</x:f>
        <x:v>0.38843381464129934</x:v>
      </x:c>
      <x:c r="AI83" s="85" t="str">
        <x:f>IF(OR(NOT(ISNUMBER(Y83)),NOT(ISNUMBER(Z83)),NOT(ISNUMBER(AA83)),NOT(ISNUMBER(AB83))),"",IF(AND(Y83&gt;=0.3,Y83&lt;=1.2,Z83&lt;=200,AA83&gt;=1E-4,AB83&lt;=1E-6),"PASS","FAIL"))</x:f>
        <x:v>PASS</x:v>
      </x:c>
      <x:c r="AJ83" s="85" t="str"/>
    </x:row>
    <x:row r="84">
      <x:c r="A84" s="85" t="str">
        <x:v>S090-33</x:v>
      </x:c>
      <x:c r="B84" s="85" t="str">
        <x:v>R082</x:v>
      </x:c>
      <x:c r="C84" s="93" t="n">
        <x:v>0.09</x:v>
      </x:c>
      <x:c r="D84" s="93" t="str">
        <x:v>Practical</x:v>
      </x:c>
      <x:c r="E84" s="93" t="n">
        <x:v>1</x:v>
      </x:c>
      <x:c r="F84" s="94" t="n">
        <x:v>24271</x:v>
      </x:c>
      <x:c r="G84" s="93" t="n">
        <x:v>0.5392032757401357</x:v>
      </x:c>
      <x:c r="H84" s="93" t="n">
        <x:v>79.7882738353585</x:v>
      </x:c>
      <x:c r="I84" s="95" t="n">
        <x:v>0.0012391790825971697</x:v>
      </x:c>
      <x:c r="J84" s="95" t="n">
        <x:v>1.9402062282535937e-9</x:v>
      </x:c>
      <x:c r="K84" s="95" t="n">
        <x:v>638684.2102411824</x:v>
      </x:c>
      <x:c r="L84" s="95" t="n">
        <x:v>27813873008.73684</x:v>
      </x:c>
      <x:c r="M84" s="95" t="n">
        <x:v>6.405813411783865</x:v>
      </x:c>
      <x:c r="N84" s="95" t="n">
        <x:v>531310481137487.9</x:v>
      </x:c>
      <x:c r="O84" s="95" t="n">
        <x:v>12.46927006419671</x:v>
      </x:c>
      <x:c r="P84" s="93" t="n">
        <x:v>0.1493102830159184</x:v>
      </x:c>
      <x:c r="Q84" s="95" t="n">
        <x:v>13737276141109.213</x:v>
      </x:c>
      <x:c r="R84" s="95" t="n">
        <x:v>8.387605295363034</x:v>
      </x:c>
      <x:c r="S84" s="97" t="n">
        <x:v>0.9566666666666667</x:v>
      </x:c>
      <x:c r="T84" s="93" t="n">
        <x:v>0.5470133333333337</x:v>
      </x:c>
      <x:c r="U84" s="98" t="n">
        <x:v>84.63371533738099</x:v>
      </x:c>
      <x:c r="V84" s="95" t="n">
        <x:v>0.0012386409496242447</x:v>
      </x:c>
      <x:c r="W84" s="95" t="n">
        <x:v>1.9573417537663948e-9</x:v>
      </x:c>
      <x:c r="X84" s="95" t="n">
        <x:v>632817.9262720997</x:v>
      </x:c>
      <x:c r="Y84" s="99" t="n">
        <x:f>IFERROR(IF(ISBLANK(INDEX('Short_TCAD'!$K$2:$K$100,MATCH(B84,'Short_TCAD'!$A$2:$A$100,0))),"",INDEX('Short_TCAD'!$K$2:$K$100,MATCH(B84,'Short_TCAD'!$A$2:$A$100,0))),"")</x:f>
        <x:v>0.559</x:v>
      </x:c>
      <x:c r="Z84" s="100" t="n">
        <x:f>IFERROR(IF(ISBLANK(INDEX('Short_TCAD'!$L$2:$L$100,MATCH(B84,'Short_TCAD'!$A$2:$A$100,0))),"",INDEX('Short_TCAD'!$L$2:$L$100,MATCH(B84,'Short_TCAD'!$A$2:$A$100,0))),"")</x:f>
        <x:v>89.124</x:v>
      </x:c>
      <x:c r="AA84" s="96" t="n">
        <x:f>IFERROR(IF(ISBLANK(INDEX('Short_TCAD'!$M$2:$M$100,MATCH(B84,'Short_TCAD'!$A$2:$A$100,0))),"",INDEX('Short_TCAD'!$M$2:$M$100,MATCH(B84,'Short_TCAD'!$A$2:$A$100,0))),"")</x:f>
        <x:v>0.001625</x:v>
      </x:c>
      <x:c r="AB84" s="96" t="n">
        <x:f>IFERROR(IF(ISBLANK(INDEX('Short_TCAD'!$N$2:$N$100,MATCH(B84,'Short_TCAD'!$A$2:$A$100,0))),"",INDEX('Short_TCAD'!$N$2:$N$100,MATCH(B84,'Short_TCAD'!$A$2:$A$100,0))),"")</x:f>
        <x:v>9.26e-9</x:v>
      </x:c>
      <x:c r="AC84" s="95" t="n">
        <x:f>IF(OR(NOT(ISNUMBER(AA84)),NOT(ISNUMBER(AB84))),"",AA84/AB84)</x:f>
        <x:v>175485.96112311014</x:v>
      </x:c>
      <x:c r="AD84" s="93" t="n">
        <x:f>IF(NOT(ISNUMBER(Y84)),"",ABS(Y84-T84)*1000)</x:f>
        <x:v>11.986666666666368</x:v>
      </x:c>
      <x:c r="AE84" s="93" t="n">
        <x:f>IF(NOT(ISNUMBER(Z84)),"",ABS(Z84-U84))</x:f>
        <x:v>4.490284662619004</x:v>
      </x:c>
      <x:c r="AF84" s="93" t="n">
        <x:f>IF(NOT(ISNUMBER(AA84)),"",ABS(LOG10(AA84)-LOG10(V84)))</x:f>
        <x:v>0.11790793157426993</x:v>
      </x:c>
      <x:c r="AG84" s="93" t="n">
        <x:f>IF(NOT(ISNUMBER(AB84)),"",ABS(LOG10(AB84)-LOG10(W84)))</x:f>
        <x:v>0.6749443261660613</x:v>
      </x:c>
      <x:c r="AH84" s="93" t="n">
        <x:f>IF(NOT(ISNUMBER(AC84)),"",ABS(LOG10(AC84)-LOG10(X84)))</x:f>
        <x:v>0.5570363945917798</x:v>
      </x:c>
      <x:c r="AI84" s="85" t="str">
        <x:f>IF(OR(NOT(ISNUMBER(Y84)),NOT(ISNUMBER(Z84)),NOT(ISNUMBER(AA84)),NOT(ISNUMBER(AB84))),"",IF(AND(Y84&gt;=0.3,Y84&lt;=1.2,Z84&lt;=200,AA84&gt;=1E-4,AB84&lt;=1E-6),"PASS","FAIL"))</x:f>
        <x:v>PASS</x:v>
      </x:c>
      <x:c r="AJ84" s="85" t="str"/>
    </x:row>
    <x:row r="85">
      <x:c r="A85" s="85" t="str">
        <x:v>S090-34</x:v>
      </x:c>
      <x:c r="B85" s="85" t="str">
        <x:v>R083</x:v>
      </x:c>
      <x:c r="C85" s="93" t="n">
        <x:v>0.09</x:v>
      </x:c>
      <x:c r="D85" s="93" t="str">
        <x:v>Practical</x:v>
      </x:c>
      <x:c r="E85" s="93" t="n">
        <x:v>1</x:v>
      </x:c>
      <x:c r="F85" s="94" t="n">
        <x:v>5277</x:v>
      </x:c>
      <x:c r="G85" s="93" t="n">
        <x:v>0.837796309843513</x:v>
      </x:c>
      <x:c r="H85" s="93" t="n">
        <x:v>84.57047217108676</x:v>
      </x:c>
      <x:c r="I85" s="95" t="n">
        <x:v>0.0008257647301527171</x:v>
      </x:c>
      <x:c r="J85" s="95" t="n">
        <x:v>1.6321188731282705e-15</x:v>
      </x:c>
      <x:c r="K85" s="95" t="n">
        <x:v>505946437939.2782</x:v>
      </x:c>
      <x:c r="L85" s="95" t="n">
        <x:v>21276760220.403397</x:v>
      </x:c>
      <x:c r="M85" s="95" t="n">
        <x:v>7.422104693219317</x:v>
      </x:c>
      <x:c r="N85" s="95" t="n">
        <x:v>527198507053918.1</x:v>
      </x:c>
      <x:c r="O85" s="95" t="n">
        <x:v>9.46441075039099</x:v>
      </x:c>
      <x:c r="P85" s="93" t="n">
        <x:v>0.34130553328422886</x:v>
      </x:c>
      <x:c r="Q85" s="95" t="n">
        <x:v>53982588271934.96</x:v>
      </x:c>
      <x:c r="R85" s="95" t="n">
        <x:v>8.259428142897194</x:v>
      </x:c>
      <x:c r="S85" s="97" t="n">
        <x:v>0.9733333333333334</x:v>
      </x:c>
      <x:c r="T85" s="93" t="n">
        <x:v>0.8694033333333329</x:v>
      </x:c>
      <x:c r="U85" s="98" t="n">
        <x:v>85.20607158340695</x:v>
      </x:c>
      <x:c r="V85" s="95" t="n">
        <x:v>0.0007771345424238766</x:v>
      </x:c>
      <x:c r="W85" s="95" t="n">
        <x:v>2.216284252929331e-15</x:v>
      </x:c>
      <x:c r="X85" s="95" t="n">
        <x:v>350647504442.04706</x:v>
      </x:c>
      <x:c r="Y85" s="99" t="n">
        <x:f>IFERROR(IF(ISBLANK(INDEX('Short_TCAD'!$K$2:$K$100,MATCH(B85,'Short_TCAD'!$A$2:$A$100,0))),"",INDEX('Short_TCAD'!$K$2:$K$100,MATCH(B85,'Short_TCAD'!$A$2:$A$100,0))),"")</x:f>
        <x:v>0.731</x:v>
      </x:c>
      <x:c r="Z85" s="100" t="n">
        <x:f>IFERROR(IF(ISBLANK(INDEX('Short_TCAD'!$L$2:$L$100,MATCH(B85,'Short_TCAD'!$A$2:$A$100,0))),"",INDEX('Short_TCAD'!$L$2:$L$100,MATCH(B85,'Short_TCAD'!$A$2:$A$100,0))),"")</x:f>
        <x:v>76.778</x:v>
      </x:c>
      <x:c r="AA85" s="96" t="n">
        <x:f>IFERROR(IF(ISBLANK(INDEX('Short_TCAD'!$M$2:$M$100,MATCH(B85,'Short_TCAD'!$A$2:$A$100,0))),"",INDEX('Short_TCAD'!$M$2:$M$100,MATCH(B85,'Short_TCAD'!$A$2:$A$100,0))),"")</x:f>
        <x:v>0.001414</x:v>
      </x:c>
      <x:c r="AB85" s="96" t="n">
        <x:f>IFERROR(IF(ISBLANK(INDEX('Short_TCAD'!$N$2:$N$100,MATCH(B85,'Short_TCAD'!$A$2:$A$100,0))),"",INDEX('Short_TCAD'!$N$2:$N$100,MATCH(B85,'Short_TCAD'!$A$2:$A$100,0))),"")</x:f>
        <x:v>1.191e-14</x:v>
      </x:c>
      <x:c r="AC85" s="95" t="n">
        <x:f>IF(OR(NOT(ISNUMBER(AA85)),NOT(ISNUMBER(AB85))),"",AA85/AB85)</x:f>
        <x:v>118723761544.92023</x:v>
      </x:c>
      <x:c r="AD85" s="93" t="n">
        <x:f>IF(NOT(ISNUMBER(Y85)),"",ABS(Y85-T85)*1000)</x:f>
        <x:v>138.40333333333288</x:v>
      </x:c>
      <x:c r="AE85" s="93" t="n">
        <x:f>IF(NOT(ISNUMBER(Z85)),"",ABS(Z85-U85))</x:f>
        <x:v>8.428071583406947</x:v>
      </x:c>
      <x:c r="AF85" s="93" t="n">
        <x:f>IF(NOT(ISNUMBER(AA85)),"",ABS(LOG10(AA85)-LOG10(V85)))</x:f>
        <x:v>0.2599531963562298</x:v>
      </x:c>
      <x:c r="AG85" s="93" t="n">
        <x:f>IF(NOT(ISNUMBER(AB85)),"",ABS(LOG10(AB85)-LOG10(W85)))</x:f>
        <x:v>0.7302863007504996</x:v>
      </x:c>
      <x:c r="AH85" s="93" t="n">
        <x:f>IF(NOT(ISNUMBER(AC85)),"",ABS(LOG10(AC85)-LOG10(X85)))</x:f>
        <x:v>0.47033310439429954</x:v>
      </x:c>
      <x:c r="AI85" s="85" t="str">
        <x:f>IF(OR(NOT(ISNUMBER(Y85)),NOT(ISNUMBER(Z85)),NOT(ISNUMBER(AA85)),NOT(ISNUMBER(AB85))),"",IF(AND(Y85&gt;=0.3,Y85&lt;=1.2,Z85&lt;=200,AA85&gt;=1E-4,AB85&lt;=1E-6),"PASS","FAIL"))</x:f>
        <x:v>PASS</x:v>
      </x:c>
      <x:c r="AJ85" s="85" t="str"/>
    </x:row>
    <x:row r="86">
      <x:c r="A86" s="85" t="str">
        <x:v>S090-35</x:v>
      </x:c>
      <x:c r="B86" s="85" t="str">
        <x:v>R084</x:v>
      </x:c>
      <x:c r="C86" s="93" t="n">
        <x:v>0.09</x:v>
      </x:c>
      <x:c r="D86" s="93" t="str">
        <x:v>Practical</x:v>
      </x:c>
      <x:c r="E86" s="93" t="n">
        <x:v>1</x:v>
      </x:c>
      <x:c r="F86" s="94" t="n">
        <x:v>4624</x:v>
      </x:c>
      <x:c r="G86" s="93" t="n">
        <x:v>0.8346341664791314</x:v>
      </x:c>
      <x:c r="H86" s="93" t="n">
        <x:v>80.93332262226492</x:v>
      </x:c>
      <x:c r="I86" s="95" t="n">
        <x:v>0.0007145729625605889</x:v>
      </x:c>
      <x:c r="J86" s="95" t="n">
        <x:v>3.058017430376893e-15</x:v>
      </x:c>
      <x:c r="K86" s="95" t="n">
        <x:v>233671971736.4461</x:v>
      </x:c>
      <x:c r="L86" s="95" t="n">
        <x:v>19161198898.81736</x:v>
      </x:c>
      <x:c r="M86" s="95" t="n">
        <x:v>12.37842246811733</x:v>
      </x:c>
      <x:c r="N86" s="95" t="n">
        <x:v>213274448785383.9</x:v>
      </x:c>
      <x:c r="O86" s="95" t="n">
        <x:v>14.553827904276616</x:v>
      </x:c>
      <x:c r="P86" s="93" t="n">
        <x:v>0.13464982345035756</x:v>
      </x:c>
      <x:c r="Q86" s="95" t="n">
        <x:v>51301240444382.34</x:v>
      </x:c>
      <x:c r="R86" s="95" t="n">
        <x:v>8.600413661587153</x:v>
      </x:c>
      <x:c r="S86" s="97" t="n">
        <x:v>0.9866666666666667</x:v>
      </x:c>
      <x:c r="T86" s="93" t="n">
        <x:v>0.8255366666666643</x:v>
      </x:c>
      <x:c r="U86" s="98" t="n">
        <x:v>82.39798669554986</x:v>
      </x:c>
      <x:c r="V86" s="95" t="n">
        <x:v>0.0007084650689296262</x:v>
      </x:c>
      <x:c r="W86" s="95" t="n">
        <x:v>2.969363686901612e-15</x:v>
      </x:c>
      <x:c r="X86" s="95" t="n">
        <x:v>238591544732.22357</x:v>
      </x:c>
      <x:c r="Y86" s="99" t="n">
        <x:f>IFERROR(IF(ISBLANK(INDEX('Short_TCAD'!$K$2:$K$100,MATCH(B86,'Short_TCAD'!$A$2:$A$100,0))),"",INDEX('Short_TCAD'!$K$2:$K$100,MATCH(B86,'Short_TCAD'!$A$2:$A$100,0))),"")</x:f>
        <x:v>0.85</x:v>
      </x:c>
      <x:c r="Z86" s="100" t="n">
        <x:f>IFERROR(IF(ISBLANK(INDEX('Short_TCAD'!$L$2:$L$100,MATCH(B86,'Short_TCAD'!$A$2:$A$100,0))),"",INDEX('Short_TCAD'!$L$2:$L$100,MATCH(B86,'Short_TCAD'!$A$2:$A$100,0))),"")</x:f>
        <x:v>82.238</x:v>
      </x:c>
      <x:c r="AA86" s="96" t="n">
        <x:f>IFERROR(IF(ISBLANK(INDEX('Short_TCAD'!$M$2:$M$100,MATCH(B86,'Short_TCAD'!$A$2:$A$100,0))),"",INDEX('Short_TCAD'!$M$2:$M$100,MATCH(B86,'Short_TCAD'!$A$2:$A$100,0))),"")</x:f>
        <x:v>0.0006143</x:v>
      </x:c>
      <x:c r="AB86" s="96" t="n">
        <x:f>IFERROR(IF(ISBLANK(INDEX('Short_TCAD'!$N$2:$N$100,MATCH(B86,'Short_TCAD'!$A$2:$A$100,0))),"",INDEX('Short_TCAD'!$N$2:$N$100,MATCH(B86,'Short_TCAD'!$A$2:$A$100,0))),"")</x:f>
        <x:v>1.508e-15</x:v>
      </x:c>
      <x:c r="AC86" s="95" t="n">
        <x:f>IF(OR(NOT(ISNUMBER(AA86)),NOT(ISNUMBER(AB86))),"",AA86/AB86)</x:f>
        <x:v>407360742705.5703</x:v>
      </x:c>
      <x:c r="AD86" s="93" t="n">
        <x:f>IF(NOT(ISNUMBER(Y86)),"",ABS(Y86-T86)*1000)</x:f>
        <x:v>24.463333333335726</x:v>
      </x:c>
      <x:c r="AE86" s="93" t="n">
        <x:f>IF(NOT(ISNUMBER(Z86)),"",ABS(Z86-U86))</x:f>
        <x:v>0.15998669554986122</x:v>
      </x:c>
      <x:c r="AF86" s="93" t="n">
        <x:f>IF(NOT(ISNUMBER(AA86)),"",ABS(LOG10(AA86)-LOG10(V86)))</x:f>
        <x:v>0.061937926779669805</x:v>
      </x:c>
      <x:c r="AG86" s="93" t="n">
        <x:f>IF(NOT(ISNUMBER(AB86)),"",ABS(LOG10(AB86)-LOG10(W86)))</x:f>
        <x:v>0.29426205159660057</x:v>
      </x:c>
      <x:c r="AH86" s="93" t="n">
        <x:f>IF(NOT(ISNUMBER(AC86)),"",ABS(LOG10(AC86)-LOG10(X86)))</x:f>
        <x:v>0.2323241248169996</x:v>
      </x:c>
      <x:c r="AI86" s="85" t="str">
        <x:f>IF(OR(NOT(ISNUMBER(Y86)),NOT(ISNUMBER(Z86)),NOT(ISNUMBER(AA86)),NOT(ISNUMBER(AB86))),"",IF(AND(Y86&gt;=0.3,Y86&lt;=1.2,Z86&lt;=200,AA86&gt;=1E-4,AB86&lt;=1E-6),"PASS","FAIL"))</x:f>
        <x:v>PASS</x:v>
      </x:c>
      <x:c r="AJ86" s="85" t="str"/>
    </x:row>
    <x:row r="87">
      <x:c r="A87" s="85" t="str">
        <x:v>S090-36</x:v>
      </x:c>
      <x:c r="B87" s="85" t="str">
        <x:v>R085</x:v>
      </x:c>
      <x:c r="C87" s="93" t="n">
        <x:v>0.09</x:v>
      </x:c>
      <x:c r="D87" s="93" t="str">
        <x:v>Practical</x:v>
      </x:c>
      <x:c r="E87" s="93" t="n">
        <x:v>1</x:v>
      </x:c>
      <x:c r="F87" s="94" t="n">
        <x:v>8076</x:v>
      </x:c>
      <x:c r="G87" s="93" t="n">
        <x:v>0.5555193778531243</x:v>
      </x:c>
      <x:c r="H87" s="93" t="n">
        <x:v>75.40700504759293</x:v>
      </x:c>
      <x:c r="I87" s="95" t="n">
        <x:v>0.001528583754785849</x:v>
      </x:c>
      <x:c r="J87" s="95" t="n">
        <x:v>2.0471279133344516e-10</x:v>
      </x:c>
      <x:c r="K87" s="95" t="n">
        <x:v>7466967.4758917475</x:v>
      </x:c>
      <x:c r="L87" s="95" t="n">
        <x:v>60148247003.54413</x:v>
      </x:c>
      <x:c r="M87" s="95" t="n">
        <x:v>10.01690991124094</x:v>
      </x:c>
      <x:c r="N87" s="95" t="n">
        <x:v>152976685974691.78</x:v>
      </x:c>
      <x:c r="O87" s="95" t="n">
        <x:v>8.67575375089734</x:v>
      </x:c>
      <x:c r="P87" s="93" t="n">
        <x:v>0.3944024579453407</x:v>
      </x:c>
      <x:c r="Q87" s="95" t="n">
        <x:v>9600861646485.857</x:v>
      </x:c>
      <x:c r="R87" s="95" t="n">
        <x:v>8.98419312691276</x:v>
      </x:c>
      <x:c r="S87" s="97" t="n">
        <x:v>1</x:v>
      </x:c>
      <x:c r="T87" s="93" t="n">
        <x:v>0.5703700000000005</x:v>
      </x:c>
      <x:c r="U87" s="98" t="n">
        <x:v>78.94292762233552</x:v>
      </x:c>
      <x:c r="V87" s="95" t="n">
        <x:v>0.0012994794436351936</x:v>
      </x:c>
      <x:c r="W87" s="95" t="n">
        <x:v>2.0045041035009102e-10</x:v>
      </x:c>
      <x:c r="X87" s="95" t="n">
        <x:v>6482797.6224425</x:v>
      </x:c>
      <x:c r="Y87" s="99" t="n">
        <x:f>IFERROR(IF(ISBLANK(INDEX('Short_TCAD'!$K$2:$K$100,MATCH(B87,'Short_TCAD'!$A$2:$A$100,0))),"",INDEX('Short_TCAD'!$K$2:$K$100,MATCH(B87,'Short_TCAD'!$A$2:$A$100,0))),"")</x:f>
        <x:v>0.591</x:v>
      </x:c>
      <x:c r="Z87" s="100" t="n">
        <x:f>IFERROR(IF(ISBLANK(INDEX('Short_TCAD'!$L$2:$L$100,MATCH(B87,'Short_TCAD'!$A$2:$A$100,0))),"",INDEX('Short_TCAD'!$L$2:$L$100,MATCH(B87,'Short_TCAD'!$A$2:$A$100,0))),"")</x:f>
        <x:v>74.678</x:v>
      </x:c>
      <x:c r="AA87" s="96" t="n">
        <x:f>IFERROR(IF(ISBLANK(INDEX('Short_TCAD'!$M$2:$M$100,MATCH(B87,'Short_TCAD'!$A$2:$A$100,0))),"",INDEX('Short_TCAD'!$M$2:$M$100,MATCH(B87,'Short_TCAD'!$A$2:$A$100,0))),"")</x:f>
        <x:v>0.001209</x:v>
      </x:c>
      <x:c r="AB87" s="96" t="n">
        <x:f>IFERROR(IF(ISBLANK(INDEX('Short_TCAD'!$N$2:$N$100,MATCH(B87,'Short_TCAD'!$A$2:$A$100,0))),"",INDEX('Short_TCAD'!$N$2:$N$100,MATCH(B87,'Short_TCAD'!$A$2:$A$100,0))),"")</x:f>
        <x:v>1.882e-12</x:v>
      </x:c>
      <x:c r="AC87" s="95" t="n">
        <x:f>IF(OR(NOT(ISNUMBER(AA87)),NOT(ISNUMBER(AB87))),"",AA87/AB87)</x:f>
        <x:v>642401700.3188099</x:v>
      </x:c>
      <x:c r="AD87" s="93" t="n">
        <x:f>IF(NOT(ISNUMBER(Y87)),"",ABS(Y87-T87)*1000)</x:f>
        <x:v>20.629999999999484</x:v>
      </x:c>
      <x:c r="AE87" s="93" t="n">
        <x:f>IF(NOT(ISNUMBER(Z87)),"",ABS(Z87-U87))</x:f>
        <x:v>4.26492762233552</x:v>
      </x:c>
      <x:c r="AF87" s="93" t="n">
        <x:f>IF(NOT(ISNUMBER(AA87)),"",ABS(LOG10(AA87)-LOG10(V87)))</x:f>
        <x:v>0.03134311295977987</x:v>
      </x:c>
      <x:c r="AG87" s="93" t="n">
        <x:f>IF(NOT(ISNUMBER(AB87)),"",ABS(LOG10(AB87)-LOG10(W87)))</x:f>
        <x:v>2.027387330557941</x:v>
      </x:c>
      <x:c r="AH87" s="93" t="n">
        <x:f>IF(NOT(ISNUMBER(AC87)),"",ABS(LOG10(AC87)-LOG10(X87)))</x:f>
        <x:v>1.9960442175981212</x:v>
      </x:c>
      <x:c r="AI87" s="85" t="str">
        <x:f>IF(OR(NOT(ISNUMBER(Y87)),NOT(ISNUMBER(Z87)),NOT(ISNUMBER(AA87)),NOT(ISNUMBER(AB87))),"",IF(AND(Y87&gt;=0.3,Y87&lt;=1.2,Z87&lt;=200,AA87&gt;=1E-4,AB87&lt;=1E-6),"PASS","FAIL"))</x:f>
        <x:v>PASS</x:v>
      </x:c>
      <x:c r="AJ87" s="85" t="str"/>
    </x:row>
    <x:row r="88">
      <x:c r="A88" s="85" t="str">
        <x:v>S090-37</x:v>
      </x:c>
      <x:c r="B88" s="85" t="str">
        <x:v>R086</x:v>
      </x:c>
      <x:c r="C88" s="93" t="n">
        <x:v>0.09</x:v>
      </x:c>
      <x:c r="D88" s="93" t="str">
        <x:v>Practical</x:v>
      </x:c>
      <x:c r="E88" s="93" t="n">
        <x:v>1</x:v>
      </x:c>
      <x:c r="F88" s="94" t="n">
        <x:v>1000</x:v>
      </x:c>
      <x:c r="G88" s="93" t="n">
        <x:v>0.5960294195410337</x:v>
      </x:c>
      <x:c r="H88" s="93" t="n">
        <x:v>89.57084113683965</x:v>
      </x:c>
      <x:c r="I88" s="95" t="n">
        <x:v>0.0015137100166140879</x:v>
      </x:c>
      <x:c r="J88" s="95" t="n">
        <x:v>2.3001545170491738e-8</x:v>
      </x:c>
      <x:c r="K88" s="95" t="n">
        <x:v>65809.0578434704</x:v>
      </x:c>
      <x:c r="L88" s="95" t="n">
        <x:v>29684892938.777832</x:v>
      </x:c>
      <x:c r="M88" s="95" t="n">
        <x:v>8.903607801432244</x:v>
      </x:c>
      <x:c r="N88" s="95" t="n">
        <x:v>606643576317406.1</x:v>
      </x:c>
      <x:c r="O88" s="95" t="n">
        <x:v>7.892949051463127</x:v>
      </x:c>
      <x:c r="P88" s="93" t="n">
        <x:v>0.3848247446430112</x:v>
      </x:c>
      <x:c r="Q88" s="95" t="n">
        <x:v>55651085452183.24</x:v>
      </x:c>
      <x:c r="R88" s="95" t="n">
        <x:v>8.25085079266022</x:v>
      </x:c>
      <x:c r="S88" s="97" t="n">
        <x:v>0.96</x:v>
      </x:c>
      <x:c r="T88" s="93" t="n">
        <x:v>0.596700000000001</x:v>
      </x:c>
      <x:c r="U88" s="98" t="n">
        <x:v>89.96709233918176</x:v>
      </x:c>
      <x:c r="V88" s="95" t="n">
        <x:v>0.001839112301828042</x:v>
      </x:c>
      <x:c r="W88" s="95" t="n">
        <x:v>2.062589393533874e-8</x:v>
      </x:c>
      <x:c r="X88" s="95" t="n">
        <x:v>89165.21667344829</x:v>
      </x:c>
      <x:c r="Y88" s="99" t="n">
        <x:f>IFERROR(IF(ISBLANK(INDEX('Short_TCAD'!$K$2:$K$100,MATCH(B88,'Short_TCAD'!$A$2:$A$100,0))),"",INDEX('Short_TCAD'!$K$2:$K$100,MATCH(B88,'Short_TCAD'!$A$2:$A$100,0))),"")</x:f>
        <x:v>0.655</x:v>
      </x:c>
      <x:c r="Z88" s="100" t="n">
        <x:f>IFERROR(IF(ISBLANK(INDEX('Short_TCAD'!$L$2:$L$100,MATCH(B88,'Short_TCAD'!$A$2:$A$100,0))),"",INDEX('Short_TCAD'!$L$2:$L$100,MATCH(B88,'Short_TCAD'!$A$2:$A$100,0))),"")</x:f>
        <x:v>78.49</x:v>
      </x:c>
      <x:c r="AA88" s="96" t="n">
        <x:f>IFERROR(IF(ISBLANK(INDEX('Short_TCAD'!$M$2:$M$100,MATCH(B88,'Short_TCAD'!$A$2:$A$100,0))),"",INDEX('Short_TCAD'!$M$2:$M$100,MATCH(B88,'Short_TCAD'!$A$2:$A$100,0))),"")</x:f>
        <x:v>0.001636</x:v>
      </x:c>
      <x:c r="AB88" s="96" t="n">
        <x:f>IFERROR(IF(ISBLANK(INDEX('Short_TCAD'!$N$2:$N$100,MATCH(B88,'Short_TCAD'!$A$2:$A$100,0))),"",INDEX('Short_TCAD'!$N$2:$N$100,MATCH(B88,'Short_TCAD'!$A$2:$A$100,0))),"")</x:f>
        <x:v>2.455e-12</x:v>
      </x:c>
      <x:c r="AC88" s="95" t="n">
        <x:f>IF(OR(NOT(ISNUMBER(AA88)),NOT(ISNUMBER(AB88))),"",AA88/AB88)</x:f>
        <x:v>666395112.0162933</x:v>
      </x:c>
      <x:c r="AD88" s="93" t="n">
        <x:f>IF(NOT(ISNUMBER(Y88)),"",ABS(Y88-T88)*1000)</x:f>
        <x:v>58.29999999999902</x:v>
      </x:c>
      <x:c r="AE88" s="93" t="n">
        <x:f>IF(NOT(ISNUMBER(Z88)),"",ABS(Z88-U88))</x:f>
        <x:v>11.477092339181766</x:v>
      </x:c>
      <x:c r="AF88" s="93" t="n">
        <x:f>IF(NOT(ISNUMBER(AA88)),"",ABS(LOG10(AA88)-LOG10(V88)))</x:f>
        <x:v>0.050824950063250274</x:v>
      </x:c>
      <x:c r="AG88" s="93" t="n">
        <x:f>IF(NOT(ISNUMBER(AB88)),"",ABS(LOG10(AB88)-LOG10(W88)))</x:f>
        <x:v>3.9243612836852204</x:v>
      </x:c>
      <x:c r="AH88" s="93" t="n">
        <x:f>IF(NOT(ISNUMBER(AC88)),"",ABS(LOG10(AC88)-LOG10(X88)))</x:f>
        <x:v>3.87353633362199</x:v>
      </x:c>
      <x:c r="AI88" s="85" t="str">
        <x:f>IF(OR(NOT(ISNUMBER(Y88)),NOT(ISNUMBER(Z88)),NOT(ISNUMBER(AA88)),NOT(ISNUMBER(AB88))),"",IF(AND(Y88&gt;=0.3,Y88&lt;=1.2,Z88&lt;=200,AA88&gt;=1E-4,AB88&lt;=1E-6),"PASS","FAIL"))</x:f>
        <x:v>PASS</x:v>
      </x:c>
      <x:c r="AJ88" s="85" t="str"/>
    </x:row>
    <x:row r="89">
      <x:c r="A89" s="85" t="str">
        <x:v>S090-38</x:v>
      </x:c>
      <x:c r="B89" s="85" t="str">
        <x:v>R087</x:v>
      </x:c>
      <x:c r="C89" s="93" t="n">
        <x:v>0.09</x:v>
      </x:c>
      <x:c r="D89" s="93" t="str">
        <x:v>Practical</x:v>
      </x:c>
      <x:c r="E89" s="93" t="n">
        <x:v>1</x:v>
      </x:c>
      <x:c r="F89" s="94" t="n">
        <x:v>3863</x:v>
      </x:c>
      <x:c r="G89" s="93" t="n">
        <x:v>0.6946916339556791</x:v>
      </x:c>
      <x:c r="H89" s="93" t="n">
        <x:v>77.02691308933682</x:v>
      </x:c>
      <x:c r="I89" s="95" t="n">
        <x:v>0.0008588736580274501</x:v>
      </x:c>
      <x:c r="J89" s="95" t="n">
        <x:v>1.951917908436698e-14</x:v>
      </x:c>
      <x:c r="K89" s="95" t="n">
        <x:v>44001525592.60686</x:v>
      </x:c>
      <x:c r="L89" s="95" t="n">
        <x:v>55780143949.11017</x:v>
      </x:c>
      <x:c r="M89" s="95" t="n">
        <x:v>11.738220433788296</x:v>
      </x:c>
      <x:c r="N89" s="95" t="n">
        <x:v>104307585243491.94</x:v>
      </x:c>
      <x:c r="O89" s="95" t="n">
        <x:v>7.296173311501476</x:v>
      </x:c>
      <x:c r="P89" s="93" t="n">
        <x:v>0.14993511856295463</x:v>
      </x:c>
      <x:c r="Q89" s="95" t="n">
        <x:v>16932268019665.521</x:v>
      </x:c>
      <x:c r="R89" s="95" t="n">
        <x:v>6.344174680898558</x:v>
      </x:c>
      <x:c r="S89" s="97" t="n">
        <x:v>0.9933333333333333</x:v>
      </x:c>
      <x:c r="T89" s="93" t="n">
        <x:v>0.6598333333333308</x:v>
      </x:c>
      <x:c r="U89" s="98" t="n">
        <x:v>74.93351559177047</x:v>
      </x:c>
      <x:c r="V89" s="95" t="n">
        <x:v>0.0008000776247600143</x:v>
      </x:c>
      <x:c r="W89" s="95" t="n">
        <x:v>1.8321810195628307e-14</x:v>
      </x:c>
      <x:c r="X89" s="95" t="n">
        <x:v>43668044599.15852</x:v>
      </x:c>
      <x:c r="Y89" s="99" t="n">
        <x:f>IFERROR(IF(ISBLANK(INDEX('Short_TCAD'!$K$2:$K$100,MATCH(B89,'Short_TCAD'!$A$2:$A$100,0))),"",INDEX('Short_TCAD'!$K$2:$K$100,MATCH(B89,'Short_TCAD'!$A$2:$A$100,0))),"")</x:f>
        <x:v>0.78</x:v>
      </x:c>
      <x:c r="Z89" s="100" t="n">
        <x:f>IFERROR(IF(ISBLANK(INDEX('Short_TCAD'!$L$2:$L$100,MATCH(B89,'Short_TCAD'!$A$2:$A$100,0))),"",INDEX('Short_TCAD'!$L$2:$L$100,MATCH(B89,'Short_TCAD'!$A$2:$A$100,0))),"")</x:f>
        <x:v>78.27</x:v>
      </x:c>
      <x:c r="AA89" s="96" t="n">
        <x:f>IFERROR(IF(ISBLANK(INDEX('Short_TCAD'!$M$2:$M$100,MATCH(B89,'Short_TCAD'!$A$2:$A$100,0))),"",INDEX('Short_TCAD'!$M$2:$M$100,MATCH(B89,'Short_TCAD'!$A$2:$A$100,0))),"")</x:f>
        <x:v>0.0006669</x:v>
      </x:c>
      <x:c r="AB89" s="96" t="n">
        <x:f>IFERROR(IF(ISBLANK(INDEX('Short_TCAD'!$N$2:$N$100,MATCH(B89,'Short_TCAD'!$A$2:$A$100,0))),"",INDEX('Short_TCAD'!$N$2:$N$100,MATCH(B89,'Short_TCAD'!$A$2:$A$100,0))),"")</x:f>
        <x:v>2.821e-15</x:v>
      </x:c>
      <x:c r="AC89" s="95" t="n">
        <x:f>IF(OR(NOT(ISNUMBER(AA89)),NOT(ISNUMBER(AB89))),"",AA89/AB89)</x:f>
        <x:v>236405529953.91705</x:v>
      </x:c>
      <x:c r="AD89" s="93" t="n">
        <x:f>IF(NOT(ISNUMBER(Y89)),"",ABS(Y89-T89)*1000)</x:f>
        <x:v>120.1666666666692</x:v>
      </x:c>
      <x:c r="AE89" s="93" t="n">
        <x:f>IF(NOT(ISNUMBER(Z89)),"",ABS(Z89-U89))</x:f>
        <x:v>3.3364844082295235</x:v>
      </x:c>
      <x:c r="AF89" s="93" t="n">
        <x:f>IF(NOT(ISNUMBER(AA89)),"",ABS(LOG10(AA89)-LOG10(V89)))</x:f>
        <x:v>0.07907140753514996</x:v>
      </x:c>
      <x:c r="AG89" s="93" t="n">
        <x:f>IF(NOT(ISNUMBER(AB89)),"",ABS(LOG10(AB89)-LOG10(W89)))</x:f>
        <x:v>0.8125652936096</x:v>
      </x:c>
      <x:c r="AH89" s="93" t="n">
        <x:f>IF(NOT(ISNUMBER(AC89)),"",ABS(LOG10(AC89)-LOG10(X89)))</x:f>
        <x:v>0.7334938860745002</x:v>
      </x:c>
      <x:c r="AI89" s="85" t="str">
        <x:f>IF(OR(NOT(ISNUMBER(Y89)),NOT(ISNUMBER(Z89)),NOT(ISNUMBER(AA89)),NOT(ISNUMBER(AB89))),"",IF(AND(Y89&gt;=0.3,Y89&lt;=1.2,Z89&lt;=200,AA89&gt;=1E-4,AB89&lt;=1E-6),"PASS","FAIL"))</x:f>
        <x:v>PASS</x:v>
      </x:c>
      <x:c r="AJ89" s="85" t="str"/>
    </x:row>
    <x:row r="90">
      <x:c r="A90" s="85" t="str">
        <x:v>S090-39</x:v>
      </x:c>
      <x:c r="B90" s="85" t="str">
        <x:v>R088</x:v>
      </x:c>
      <x:c r="C90" s="93" t="n">
        <x:v>0.09</x:v>
      </x:c>
      <x:c r="D90" s="93" t="str">
        <x:v>Practical</x:v>
      </x:c>
      <x:c r="E90" s="93" t="n">
        <x:v>1</x:v>
      </x:c>
      <x:c r="F90" s="94" t="n">
        <x:v>1670</x:v>
      </x:c>
      <x:c r="G90" s="93" t="n">
        <x:v>0.7091970142053184</x:v>
      </x:c>
      <x:c r="H90" s="93" t="n">
        <x:v>82.91169997335146</x:v>
      </x:c>
      <x:c r="I90" s="95" t="n">
        <x:v>0.0009221453074433888</x:v>
      </x:c>
      <x:c r="J90" s="95" t="n">
        <x:v>5.738457086638912e-15</x:v>
      </x:c>
      <x:c r="K90" s="95" t="n">
        <x:v>160695687624.8945</x:v>
      </x:c>
      <x:c r="L90" s="95" t="n">
        <x:v>24516533591.606762</x:v>
      </x:c>
      <x:c r="M90" s="95" t="n">
        <x:v>12.437557820407838</x:v>
      </x:c>
      <x:c r="N90" s="95" t="n">
        <x:v>230501302308283.62</x:v>
      </x:c>
      <x:c r="O90" s="95" t="n">
        <x:v>9.126085188861111</x:v>
      </x:c>
      <x:c r="P90" s="93" t="n">
        <x:v>0.18818891033750176</x:v>
      </x:c>
      <x:c r="Q90" s="95" t="n">
        <x:v>24748671308249.586</x:v>
      </x:c>
      <x:c r="R90" s="95" t="n">
        <x:v>8.001466455076503</x:v>
      </x:c>
      <x:c r="S90" s="97" t="n">
        <x:v>0.95</x:v>
      </x:c>
      <x:c r="T90" s="93" t="n">
        <x:v>0.7561700000000027</x:v>
      </x:c>
      <x:c r="U90" s="98" t="n">
        <x:v>84.30277261066684</x:v>
      </x:c>
      <x:c r="V90" s="95" t="n">
        <x:v>0.000855240541728604</x:v>
      </x:c>
      <x:c r="W90" s="95" t="n">
        <x:v>6.063735452751888e-15</x:v>
      </x:c>
      <x:c r="X90" s="95" t="n">
        <x:v>141041862461.2775</x:v>
      </x:c>
      <x:c r="Y90" s="99" t="n">
        <x:f>IFERROR(IF(ISBLANK(INDEX('Short_TCAD'!$K$2:$K$100,MATCH(B90,'Short_TCAD'!$A$2:$A$100,0))),"",INDEX('Short_TCAD'!$K$2:$K$100,MATCH(B90,'Short_TCAD'!$A$2:$A$100,0))),"")</x:f>
        <x:v>0.686</x:v>
      </x:c>
      <x:c r="Z90" s="100" t="n">
        <x:f>IFERROR(IF(ISBLANK(INDEX('Short_TCAD'!$L$2:$L$100,MATCH(B90,'Short_TCAD'!$A$2:$A$100,0))),"",INDEX('Short_TCAD'!$L$2:$L$100,MATCH(B90,'Short_TCAD'!$A$2:$A$100,0))),"")</x:f>
        <x:v>74.924</x:v>
      </x:c>
      <x:c r="AA90" s="96" t="n">
        <x:f>IFERROR(IF(ISBLANK(INDEX('Short_TCAD'!$M$2:$M$100,MATCH(B90,'Short_TCAD'!$A$2:$A$100,0))),"",INDEX('Short_TCAD'!$M$2:$M$100,MATCH(B90,'Short_TCAD'!$A$2:$A$100,0))),"")</x:f>
        <x:v>0.001128</x:v>
      </x:c>
      <x:c r="AB90" s="96" t="n">
        <x:f>IFERROR(IF(ISBLANK(INDEX('Short_TCAD'!$N$2:$N$100,MATCH(B90,'Short_TCAD'!$A$2:$A$100,0))),"",INDEX('Short_TCAD'!$N$2:$N$100,MATCH(B90,'Short_TCAD'!$A$2:$A$100,0))),"")</x:f>
        <x:v>1.949e-14</x:v>
      </x:c>
      <x:c r="AC90" s="95" t="n">
        <x:f>IF(OR(NOT(ISNUMBER(AA90)),NOT(ISNUMBER(AB90))),"",AA90/AB90)</x:f>
        <x:v>57875833760.90303</x:v>
      </x:c>
      <x:c r="AD90" s="93" t="n">
        <x:f>IF(NOT(ISNUMBER(Y90)),"",ABS(Y90-T90)*1000)</x:f>
        <x:v>70.17000000000262</x:v>
      </x:c>
      <x:c r="AE90" s="93" t="n">
        <x:f>IF(NOT(ISNUMBER(Z90)),"",ABS(Z90-U90))</x:f>
        <x:v>9.378772610666829</x:v>
      </x:c>
      <x:c r="AF90" s="93" t="n">
        <x:f>IF(NOT(ISNUMBER(AA90)),"",ABS(LOG10(AA90)-LOG10(V90)))</x:f>
        <x:v>0.12022081971075993</x:v>
      </x:c>
      <x:c r="AG90" s="93" t="n">
        <x:f>IF(NOT(ISNUMBER(AB90)),"",ABS(LOG10(AB90)-LOG10(W90)))</x:f>
        <x:v>0.5070715933795</x:v>
      </x:c>
      <x:c r="AH90" s="93" t="n">
        <x:f>IF(NOT(ISNUMBER(AC90)),"",ABS(LOG10(AC90)-LOG10(X90)))</x:f>
        <x:v>0.38685077366879916</x:v>
      </x:c>
      <x:c r="AI90" s="85" t="str">
        <x:f>IF(OR(NOT(ISNUMBER(Y90)),NOT(ISNUMBER(Z90)),NOT(ISNUMBER(AA90)),NOT(ISNUMBER(AB90))),"",IF(AND(Y90&gt;=0.3,Y90&lt;=1.2,Z90&lt;=200,AA90&gt;=1E-4,AB90&lt;=1E-6),"PASS","FAIL"))</x:f>
        <x:v>PASS</x:v>
      </x:c>
      <x:c r="AJ90" s="85" t="str"/>
    </x:row>
    <x:row r="91">
      <x:c r="A91" s="85" t="str">
        <x:v>S090-40</x:v>
      </x:c>
      <x:c r="B91" s="85" t="str">
        <x:v>R089</x:v>
      </x:c>
      <x:c r="C91" s="93" t="n">
        <x:v>0.09</x:v>
      </x:c>
      <x:c r="D91" s="93" t="str">
        <x:v>Practical</x:v>
      </x:c>
      <x:c r="E91" s="93" t="n">
        <x:v>1</x:v>
      </x:c>
      <x:c r="F91" s="94" t="n">
        <x:v>19183</x:v>
      </x:c>
      <x:c r="G91" s="93" t="n">
        <x:v>0.5224007320795644</x:v>
      </x:c>
      <x:c r="H91" s="93" t="n">
        <x:v>78.1786466344348</x:v>
      </x:c>
      <x:c r="I91" s="95" t="n">
        <x:v>0.0009784610144808296</x:v>
      </x:c>
      <x:c r="J91" s="95" t="n">
        <x:v>6.047272567666198e-9</x:v>
      </x:c>
      <x:c r="K91" s="95" t="n">
        <x:v>161802.03612989179</x:v>
      </x:c>
      <x:c r="L91" s="95" t="n">
        <x:v>59337656871.375244</x:v>
      </x:c>
      <x:c r="M91" s="95" t="n">
        <x:v>13.367829283288346</x:v>
      </x:c>
      <x:c r="N91" s="95" t="n">
        <x:v>51269106082329.086</x:v>
      </x:c>
      <x:c r="O91" s="95" t="n">
        <x:v>9.636557171531045</x:v>
      </x:c>
      <x:c r="P91" s="93" t="n">
        <x:v>0.3965707793675468</x:v>
      </x:c>
      <x:c r="Q91" s="95" t="n">
        <x:v>3248205985573.926</x:v>
      </x:c>
      <x:c r="R91" s="95" t="n">
        <x:v>8.917565536880522</x:v>
      </x:c>
      <x:c r="S91" s="97" t="n">
        <x:v>0.9733333333333334</x:v>
      </x:c>
      <x:c r="T91" s="93" t="n">
        <x:v>0.5234833333333323</x:v>
      </x:c>
      <x:c r="U91" s="98" t="n">
        <x:v>78.21753222848884</x:v>
      </x:c>
      <x:c r="V91" s="95" t="n">
        <x:v>0.0008102620007035348</x:v>
      </x:c>
      <x:c r="W91" s="95" t="n">
        <x:v>5.830805172110204e-9</x:v>
      </x:c>
      <x:c r="X91" s="95" t="n">
        <x:v>138962.2833874067</x:v>
      </x:c>
      <x:c r="Y91" s="99" t="n">
        <x:f>IFERROR(IF(ISBLANK(INDEX('Short_TCAD'!$K$2:$K$100,MATCH(B91,'Short_TCAD'!$A$2:$A$100,0))),"",INDEX('Short_TCAD'!$K$2:$K$100,MATCH(B91,'Short_TCAD'!$A$2:$A$100,0))),"")</x:f>
        <x:v>0.55</x:v>
      </x:c>
      <x:c r="Z91" s="100" t="n">
        <x:f>IFERROR(IF(ISBLANK(INDEX('Short_TCAD'!$L$2:$L$100,MATCH(B91,'Short_TCAD'!$A$2:$A$100,0))),"",INDEX('Short_TCAD'!$L$2:$L$100,MATCH(B91,'Short_TCAD'!$A$2:$A$100,0))),"")</x:f>
        <x:v>73.635</x:v>
      </x:c>
      <x:c r="AA91" s="96" t="n">
        <x:f>IFERROR(IF(ISBLANK(INDEX('Short_TCAD'!$M$2:$M$100,MATCH(B91,'Short_TCAD'!$A$2:$A$100,0))),"",INDEX('Short_TCAD'!$M$2:$M$100,MATCH(B91,'Short_TCAD'!$A$2:$A$100,0))),"")</x:f>
        <x:v>0.0008515</x:v>
      </x:c>
      <x:c r="AB91" s="96" t="n">
        <x:f>IFERROR(IF(ISBLANK(INDEX('Short_TCAD'!$N$2:$N$100,MATCH(B91,'Short_TCAD'!$A$2:$A$100,0))),"",INDEX('Short_TCAD'!$N$2:$N$100,MATCH(B91,'Short_TCAD'!$A$2:$A$100,0))),"")</x:f>
        <x:v>2.204e-12</x:v>
      </x:c>
      <x:c r="AC91" s="95" t="n">
        <x:f>IF(OR(NOT(ISNUMBER(AA91)),NOT(ISNUMBER(AB91))),"",AA91/AB91)</x:f>
        <x:v>386343012.7041743</x:v>
      </x:c>
      <x:c r="AD91" s="93" t="n">
        <x:f>IF(NOT(ISNUMBER(Y91)),"",ABS(Y91-T91)*1000)</x:f>
        <x:v>26.516666666667742</x:v>
      </x:c>
      <x:c r="AE91" s="93" t="n">
        <x:f>IF(NOT(ISNUMBER(Z91)),"",ABS(Z91-U91))</x:f>
        <x:v>4.58253222848883</x:v>
      </x:c>
      <x:c r="AF91" s="93" t="n">
        <x:f>IF(NOT(ISNUMBER(AA91)),"",ABS(LOG10(AA91)-LOG10(V91)))</x:f>
        <x:v>0.021559180257769928</x:v>
      </x:c>
      <x:c r="AG91" s="93" t="n">
        <x:f>IF(NOT(ISNUMBER(AB91)),"",ABS(LOG10(AB91)-LOG10(W91)))</x:f>
        <x:v>3.4225169401641597</x:v>
      </x:c>
      <x:c r="AH91" s="93" t="n">
        <x:f>IF(NOT(ISNUMBER(AC91)),"",ABS(LOG10(AC91)-LOG10(X91)))</x:f>
        <x:v>3.44407612042189</x:v>
      </x:c>
      <x:c r="AI91" s="85" t="str">
        <x:f>IF(OR(NOT(ISNUMBER(Y91)),NOT(ISNUMBER(Z91)),NOT(ISNUMBER(AA91)),NOT(ISNUMBER(AB91))),"",IF(AND(Y91&gt;=0.3,Y91&lt;=1.2,Z91&lt;=200,AA91&gt;=1E-4,AB91&lt;=1E-6),"PASS","FAIL"))</x:f>
        <x:v>PASS</x:v>
      </x:c>
      <x:c r="AJ91" s="85" t="str"/>
    </x:row>
    <x:row r="92">
      <x:c r="A92" s="85" t="str">
        <x:v>S090-41</x:v>
      </x:c>
      <x:c r="B92" s="85" t="str">
        <x:v>R090</x:v>
      </x:c>
      <x:c r="C92" s="93" t="n">
        <x:v>0.09</x:v>
      </x:c>
      <x:c r="D92" s="93" t="str">
        <x:v>Practical</x:v>
      </x:c>
      <x:c r="E92" s="93" t="n">
        <x:v>1</x:v>
      </x:c>
      <x:c r="F92" s="94" t="n">
        <x:v>2503</x:v>
      </x:c>
      <x:c r="G92" s="93" t="n">
        <x:v>0.8617561246571621</x:v>
      </x:c>
      <x:c r="H92" s="93" t="n">
        <x:v>80.98450336074372</x:v>
      </x:c>
      <x:c r="I92" s="95" t="n">
        <x:v>0.0004889665041340336</x:v>
      </x:c>
      <x:c r="J92" s="95" t="n">
        <x:v>1.409e-15</x:v>
      </x:c>
      <x:c r="K92" s="95" t="n">
        <x:v>347030875893.56537</x:v>
      </x:c>
      <x:c r="L92" s="95" t="n">
        <x:v>23653092406.190342</x:v>
      </x:c>
      <x:c r="M92" s="95" t="n">
        <x:v>6.742523244695953</x:v>
      </x:c>
      <x:c r="N92" s="95" t="n">
        <x:v>497433743774646.5</x:v>
      </x:c>
      <x:c r="O92" s="95" t="n">
        <x:v>11.247368575638092</x:v>
      </x:c>
      <x:c r="P92" s="93" t="n">
        <x:v>0.478681186416726</x:v>
      </x:c>
      <x:c r="Q92" s="95" t="n">
        <x:v>67527830778121.55</x:v>
      </x:c>
      <x:c r="R92" s="95" t="n">
        <x:v>8.220737893186309</x:v>
      </x:c>
      <x:c r="S92" s="97" t="n">
        <x:v>0.98</x:v>
      </x:c>
      <x:c r="T92" s="93" t="n">
        <x:v>0.9469966666666658</x:v>
      </x:c>
      <x:c r="U92" s="98" t="n">
        <x:v>89.85495064974175</x:v>
      </x:c>
      <x:c r="V92" s="95" t="n">
        <x:v>0.0005222645116889439</x:v>
      </x:c>
      <x:c r="W92" s="95" t="n">
        <x:v>1.8805977334820544e-15</x:v>
      </x:c>
      <x:c r="X92" s="95" t="n">
        <x:v>277711975501.4996</x:v>
      </x:c>
      <x:c r="Y92" s="99" t="n">
        <x:f>IFERROR(IF(ISBLANK(INDEX('Short_TCAD'!$K$2:$K$100,MATCH(B92,'Short_TCAD'!$A$2:$A$100,0))),"",INDEX('Short_TCAD'!$K$2:$K$100,MATCH(B92,'Short_TCAD'!$A$2:$A$100,0))),"")</x:f>
        <x:v>0.722</x:v>
      </x:c>
      <x:c r="Z92" s="100" t="n">
        <x:f>IFERROR(IF(ISBLANK(INDEX('Short_TCAD'!$L$2:$L$100,MATCH(B92,'Short_TCAD'!$A$2:$A$100,0))),"",INDEX('Short_TCAD'!$L$2:$L$100,MATCH(B92,'Short_TCAD'!$A$2:$A$100,0))),"")</x:f>
        <x:v>76.526</x:v>
      </x:c>
      <x:c r="AA92" s="96" t="n">
        <x:f>IFERROR(IF(ISBLANK(INDEX('Short_TCAD'!$M$2:$M$100,MATCH(B92,'Short_TCAD'!$A$2:$A$100,0))),"",INDEX('Short_TCAD'!$M$2:$M$100,MATCH(B92,'Short_TCAD'!$A$2:$A$100,0))),"")</x:f>
        <x:v>0.001452</x:v>
      </x:c>
      <x:c r="AB92" s="96" t="n">
        <x:f>IFERROR(IF(ISBLANK(INDEX('Short_TCAD'!$N$2:$N$100,MATCH(B92,'Short_TCAD'!$A$2:$A$100,0))),"",INDEX('Short_TCAD'!$N$2:$N$100,MATCH(B92,'Short_TCAD'!$A$2:$A$100,0))),"")</x:f>
        <x:v>2.982e-14</x:v>
      </x:c>
      <x:c r="AC92" s="95" t="n">
        <x:f>IF(OR(NOT(ISNUMBER(AA92)),NOT(ISNUMBER(AB92))),"",AA92/AB92)</x:f>
        <x:v>48692152917.50503</x:v>
      </x:c>
      <x:c r="AD92" s="93" t="n">
        <x:f>IF(NOT(ISNUMBER(Y92)),"",ABS(Y92-T92)*1000)</x:f>
        <x:v>224.99666666666585</x:v>
      </x:c>
      <x:c r="AE92" s="93" t="n">
        <x:f>IF(NOT(ISNUMBER(Z92)),"",ABS(Z92-U92))</x:f>
        <x:v>13.328950649741756</x:v>
      </x:c>
      <x:c r="AF92" s="93" t="n">
        <x:f>IF(NOT(ISNUMBER(AA92)),"",ABS(LOG10(AA92)-LOG10(V92)))</x:f>
        <x:v>0.44407610019833976</x:v>
      </x:c>
      <x:c r="AG92" s="93" t="n">
        <x:f>IF(NOT(ISNUMBER(AB92)),"",ABS(LOG10(AB92)-LOG10(W92)))</x:f>
        <x:v>1.2002117307609002</x:v>
      </x:c>
      <x:c r="AH92" s="93" t="n">
        <x:f>IF(NOT(ISNUMBER(AC92)),"",ABS(LOG10(AC92)-LOG10(X92)))</x:f>
        <x:v>0.7561356305624987</x:v>
      </x:c>
      <x:c r="AI92" s="85" t="str">
        <x:f>IF(OR(NOT(ISNUMBER(Y92)),NOT(ISNUMBER(Z92)),NOT(ISNUMBER(AA92)),NOT(ISNUMBER(AB92))),"",IF(AND(Y92&gt;=0.3,Y92&lt;=1.2,Z92&lt;=200,AA92&gt;=1E-4,AB92&lt;=1E-6),"PASS","FAIL"))</x:f>
        <x:v>PASS</x:v>
      </x:c>
      <x:c r="AJ92" s="85" t="str"/>
    </x:row>
    <x:row r="93">
      <x:c r="A93" s="85" t="str">
        <x:v>S090-42</x:v>
      </x:c>
      <x:c r="B93" s="85" t="str">
        <x:v>R091</x:v>
      </x:c>
      <x:c r="C93" s="93" t="n">
        <x:v>0.09</x:v>
      </x:c>
      <x:c r="D93" s="93" t="str">
        <x:v>Practical</x:v>
      </x:c>
      <x:c r="E93" s="93" t="n">
        <x:v>1</x:v>
      </x:c>
      <x:c r="F93" s="94" t="n">
        <x:v>9705</x:v>
      </x:c>
      <x:c r="G93" s="93" t="n">
        <x:v>0.5470513449569504</x:v>
      </x:c>
      <x:c r="H93" s="93" t="n">
        <x:v>102.21917785090601</x:v>
      </x:c>
      <x:c r="I93" s="95" t="n">
        <x:v>0.001379495130232699</x:v>
      </x:c>
      <x:c r="J93" s="95" t="n">
        <x:v>3.837359306838515e-8</x:v>
      </x:c>
      <x:c r="K93" s="95" t="n">
        <x:v>35949.07382726231</x:v>
      </x:c>
      <x:c r="L93" s="95" t="n">
        <x:v>95264485944.21196</x:v>
      </x:c>
      <x:c r="M93" s="95" t="n">
        <x:v>5.7632537432240305</x:v>
      </x:c>
      <x:c r="N93" s="95" t="n">
        <x:v>643339450677299.5</x:v>
      </x:c>
      <x:c r="O93" s="95" t="n">
        <x:v>12.766688951384364</x:v>
      </x:c>
      <x:c r="P93" s="93" t="n">
        <x:v>0.42830769375603883</x:v>
      </x:c>
      <x:c r="Q93" s="95" t="n">
        <x:v>11478535678790.855</x:v>
      </x:c>
      <x:c r="R93" s="95" t="n">
        <x:v>6.133062283260021</x:v>
      </x:c>
      <x:c r="S93" s="97" t="n">
        <x:v>0.9766666666666667</x:v>
      </x:c>
      <x:c r="T93" s="93" t="n">
        <x:v>0.5298266666666668</x:v>
      </x:c>
      <x:c r="U93" s="98" t="n">
        <x:v>103.87467921417694</x:v>
      </x:c>
      <x:c r="V93" s="95" t="n">
        <x:v>0.0013638165333580503</x:v>
      </x:c>
      <x:c r="W93" s="95" t="n">
        <x:v>3.760755371871328e-8</x:v>
      </x:c>
      <x:c r="X93" s="95" t="n">
        <x:v>36264.430905523746</x:v>
      </x:c>
      <x:c r="Y93" s="99" t="n">
        <x:f>IFERROR(IF(ISBLANK(INDEX('Short_TCAD'!$K$2:$K$100,MATCH(B93,'Short_TCAD'!$A$2:$A$100,0))),"",INDEX('Short_TCAD'!$K$2:$K$100,MATCH(B93,'Short_TCAD'!$A$2:$A$100,0))),"")</x:f>
        <x:v>0.456</x:v>
      </x:c>
      <x:c r="Z93" s="100" t="n">
        <x:f>IFERROR(IF(ISBLANK(INDEX('Short_TCAD'!$L$2:$L$100,MATCH(B93,'Short_TCAD'!$A$2:$A$100,0))),"",INDEX('Short_TCAD'!$L$2:$L$100,MATCH(B93,'Short_TCAD'!$A$2:$A$100,0))),"")</x:f>
        <x:v>357.699</x:v>
      </x:c>
      <x:c r="AA93" s="96" t="n">
        <x:f>IFERROR(IF(ISBLANK(INDEX('Short_TCAD'!$M$2:$M$100,MATCH(B93,'Short_TCAD'!$A$2:$A$100,0))),"",INDEX('Short_TCAD'!$M$2:$M$100,MATCH(B93,'Short_TCAD'!$A$2:$A$100,0))),"")</x:f>
        <x:v>0.00201</x:v>
      </x:c>
      <x:c r="AB93" s="96" t="n">
        <x:f>IFERROR(IF(ISBLANK(INDEX('Short_TCAD'!$N$2:$N$100,MATCH(B93,'Short_TCAD'!$A$2:$A$100,0))),"",INDEX('Short_TCAD'!$N$2:$N$100,MATCH(B93,'Short_TCAD'!$A$2:$A$100,0))),"")</x:f>
        <x:v>0.00009013</x:v>
      </x:c>
      <x:c r="AC93" s="95" t="n">
        <x:f>IF(OR(NOT(ISNUMBER(AA93)),NOT(ISNUMBER(AB93))),"",AA93/AB93)</x:f>
        <x:v>22.301120603572617</x:v>
      </x:c>
      <x:c r="AD93" s="93" t="n">
        <x:f>IF(NOT(ISNUMBER(Y93)),"",ABS(Y93-T93)*1000)</x:f>
        <x:v>73.82666666666677</x:v>
      </x:c>
      <x:c r="AE93" s="93" t="n">
        <x:f>IF(NOT(ISNUMBER(Z93)),"",ABS(Z93-U93))</x:f>
        <x:v>253.8243207858231</x:v>
      </x:c>
      <x:c r="AF93" s="93" t="n">
        <x:f>IF(NOT(ISNUMBER(AA93)),"",ABS(LOG10(AA93)-LOG10(V93)))</x:f>
        <x:v>0.16844010638839002</x:v>
      </x:c>
      <x:c r="AG93" s="93" t="n">
        <x:f>IF(NOT(ISNUMBER(AB93)),"",ABS(LOG10(AB93)-LOG10(W93)))</x:f>
        <x:v>3.3795942865411</x:v>
      </x:c>
      <x:c r="AH93" s="93" t="n">
        <x:f>IF(NOT(ISNUMBER(AC93)),"",ABS(LOG10(AC93)-LOG10(X93)))</x:f>
        <x:v>3.2111541801526995</x:v>
      </x:c>
      <x:c r="AI93" s="85" t="str">
        <x:f>IF(OR(NOT(ISNUMBER(Y93)),NOT(ISNUMBER(Z93)),NOT(ISNUMBER(AA93)),NOT(ISNUMBER(AB93))),"",IF(AND(Y93&gt;=0.3,Y93&lt;=1.2,Z93&lt;=200,AA93&gt;=1E-4,AB93&lt;=1E-6),"PASS","FAIL"))</x:f>
        <x:v>FAIL</x:v>
      </x:c>
      <x:c r="AJ93" s="85" t="str">
        <x:v>Practical fail: SS, Ioff</x:v>
      </x:c>
    </x:row>
    <x:row r="94">
      <x:c r="A94" s="85" t="str">
        <x:v>S090-43</x:v>
      </x:c>
      <x:c r="B94" s="85" t="str">
        <x:v>R092</x:v>
      </x:c>
      <x:c r="C94" s="93" t="n">
        <x:v>0.09</x:v>
      </x:c>
      <x:c r="D94" s="93" t="str">
        <x:v>Practical</x:v>
      </x:c>
      <x:c r="E94" s="93" t="n">
        <x:v>1</x:v>
      </x:c>
      <x:c r="F94" s="94" t="n">
        <x:v>3616</x:v>
      </x:c>
      <x:c r="G94" s="93" t="n">
        <x:v>0.6594346482210093</x:v>
      </x:c>
      <x:c r="H94" s="93" t="n">
        <x:v>74.487</x:v>
      </x:c>
      <x:c r="I94" s="95" t="n">
        <x:v>0.0008384624148908286</x:v>
      </x:c>
      <x:c r="J94" s="95" t="n">
        <x:v>9.697716526044484e-13</x:v>
      </x:c>
      <x:c r="K94" s="95" t="n">
        <x:v>864597776.8467745</x:v>
      </x:c>
      <x:c r="L94" s="95" t="n">
        <x:v>29280671797.98524</x:v>
      </x:c>
      <x:c r="M94" s="95" t="n">
        <x:v>5.590599467608753</x:v>
      </x:c>
      <x:c r="N94" s="95" t="n">
        <x:v>415660603917807.8</x:v>
      </x:c>
      <x:c r="O94" s="95" t="n">
        <x:v>14.231760798254943</x:v>
      </x:c>
      <x:c r="P94" s="93" t="n">
        <x:v>0.36223191797279586</x:v>
      </x:c>
      <x:c r="Q94" s="95" t="n">
        <x:v>25406177058489.766</x:v>
      </x:c>
      <x:c r="R94" s="95" t="n">
        <x:v>7.892457878134928</x:v>
      </x:c>
      <x:c r="S94" s="97" t="n">
        <x:v>0.95</x:v>
      </x:c>
      <x:c r="T94" s="93" t="n">
        <x:v>0.6864999999999974</x:v>
      </x:c>
      <x:c r="U94" s="98" t="n">
        <x:v>77.51523641195787</x:v>
      </x:c>
      <x:c r="V94" s="95" t="n">
        <x:v>0.0009420769251369388</x:v>
      </x:c>
      <x:c r="W94" s="95" t="n">
        <x:v>9.381773379297026e-13</x:v>
      </x:c>
      <x:c r="X94" s="95" t="n">
        <x:v>1004156556.6013793</x:v>
      </x:c>
      <x:c r="Y94" s="99" t="n">
        <x:f>IFERROR(IF(ISBLANK(INDEX('Short_TCAD'!$K$2:$K$100,MATCH(B94,'Short_TCAD'!$A$2:$A$100,0))),"",INDEX('Short_TCAD'!$K$2:$K$100,MATCH(B94,'Short_TCAD'!$A$2:$A$100,0))),"")</x:f>
        <x:v>0.549</x:v>
      </x:c>
      <x:c r="Z94" s="100" t="n">
        <x:f>IFERROR(IF(ISBLANK(INDEX('Short_TCAD'!$L$2:$L$100,MATCH(B94,'Short_TCAD'!$A$2:$A$100,0))),"",INDEX('Short_TCAD'!$L$2:$L$100,MATCH(B94,'Short_TCAD'!$A$2:$A$100,0))),"")</x:f>
        <x:v>121.499</x:v>
      </x:c>
      <x:c r="AA94" s="96" t="n">
        <x:f>IFERROR(IF(ISBLANK(INDEX('Short_TCAD'!$M$2:$M$100,MATCH(B94,'Short_TCAD'!$A$2:$A$100,0))),"",INDEX('Short_TCAD'!$M$2:$M$100,MATCH(B94,'Short_TCAD'!$A$2:$A$100,0))),"")</x:f>
        <x:v>0.001658</x:v>
      </x:c>
      <x:c r="AB94" s="96" t="n">
        <x:f>IFERROR(IF(ISBLANK(INDEX('Short_TCAD'!$N$2:$N$100,MATCH(B94,'Short_TCAD'!$A$2:$A$100,0))),"",INDEX('Short_TCAD'!$N$2:$N$100,MATCH(B94,'Short_TCAD'!$A$2:$A$100,0))),"")</x:f>
        <x:v>8.965e-7</x:v>
      </x:c>
      <x:c r="AC94" s="95" t="n">
        <x:f>IF(OR(NOT(ISNUMBER(AA94)),NOT(ISNUMBER(AB94))),"",AA94/AB94)</x:f>
        <x:v>1849.4143892916898</x:v>
      </x:c>
      <x:c r="AD94" s="93" t="n">
        <x:f>IF(NOT(ISNUMBER(Y94)),"",ABS(Y94-T94)*1000)</x:f>
        <x:v>137.4999999999974</x:v>
      </x:c>
      <x:c r="AE94" s="93" t="n">
        <x:f>IF(NOT(ISNUMBER(Z94)),"",ABS(Z94-U94))</x:f>
        <x:v>43.98376358804212</x:v>
      </x:c>
      <x:c r="AF94" s="93" t="n">
        <x:f>IF(NOT(ISNUMBER(AA94)),"",ABS(LOG10(AA94)-LOG10(V94)))</x:f>
        <x:v>0.24549815972872002</x:v>
      </x:c>
      <x:c r="AG94" s="93" t="n">
        <x:f>IF(NOT(ISNUMBER(AB94)),"",ABS(LOG10(AB94)-LOG10(W94)))</x:f>
        <x:v>5.980265355727199</x:v>
      </x:c>
      <x:c r="AH94" s="93" t="n">
        <x:f>IF(NOT(ISNUMBER(AC94)),"",ABS(LOG10(AC94)-LOG10(X94)))</x:f>
        <x:v>5.734767195998501</x:v>
      </x:c>
      <x:c r="AI94" s="85" t="str">
        <x:f>IF(OR(NOT(ISNUMBER(Y94)),NOT(ISNUMBER(Z94)),NOT(ISNUMBER(AA94)),NOT(ISNUMBER(AB94))),"",IF(AND(Y94&gt;=0.3,Y94&lt;=1.2,Z94&lt;=200,AA94&gt;=1E-4,AB94&lt;=1E-6),"PASS","FAIL"))</x:f>
        <x:v>PASS</x:v>
      </x:c>
      <x:c r="AJ94" s="85" t="str"/>
    </x:row>
    <x:row r="95">
      <x:c r="A95" s="85" t="str">
        <x:v>S090-44</x:v>
      </x:c>
      <x:c r="B95" s="85" t="str">
        <x:v>R093</x:v>
      </x:c>
      <x:c r="C95" s="93" t="n">
        <x:v>0.09</x:v>
      </x:c>
      <x:c r="D95" s="93" t="str">
        <x:v>Practical</x:v>
      </x:c>
      <x:c r="E95" s="93" t="n">
        <x:v>1</x:v>
      </x:c>
      <x:c r="F95" s="94" t="n">
        <x:v>13557</x:v>
      </x:c>
      <x:c r="G95" s="93" t="n">
        <x:v>0.546936386985002</x:v>
      </x:c>
      <x:c r="H95" s="93" t="n">
        <x:v>76.15760287024484</x:v>
      </x:c>
      <x:c r="I95" s="95" t="n">
        <x:v>0.0009992911879999002</x:v>
      </x:c>
      <x:c r="J95" s="95" t="n">
        <x:v>1.5498622170033726e-11</x:v>
      </x:c>
      <x:c r="K95" s="95" t="n">
        <x:v>64476130.654504865</x:v>
      </x:c>
      <x:c r="L95" s="95" t="n">
        <x:v>69009253367.11795</x:v>
      </x:c>
      <x:c r="M95" s="95" t="n">
        <x:v>10.795882675991761</x:v>
      </x:c>
      <x:c r="N95" s="95" t="n">
        <x:v>110218275106143.03</x:v>
      </x:c>
      <x:c r="O95" s="95" t="n">
        <x:v>7.731249046926181</x:v>
      </x:c>
      <x:c r="P95" s="93" t="n">
        <x:v>0.10620759088615306</x:v>
      </x:c>
      <x:c r="Q95" s="95" t="n">
        <x:v>1074164012304.0276</x:v>
      </x:c>
      <x:c r="R95" s="95" t="n">
        <x:v>8.193771500290453</x:v>
      </x:c>
      <x:c r="S95" s="97" t="n">
        <x:v>1</x:v>
      </x:c>
      <x:c r="T95" s="93" t="n">
        <x:v>0.5450866666666676</x:v>
      </x:c>
      <x:c r="U95" s="98" t="n">
        <x:v>76.3737900868935</x:v>
      </x:c>
      <x:c r="V95" s="95" t="n">
        <x:v>0.001080829496427754</x:v>
      </x:c>
      <x:c r="W95" s="95" t="n">
        <x:v>1.5740539246968527e-11</x:v>
      </x:c>
      <x:c r="X95" s="95" t="n">
        <x:v>68665341.09598</x:v>
      </x:c>
      <x:c r="Y95" s="99" t="n">
        <x:f>IFERROR(IF(ISBLANK(INDEX('Short_TCAD'!$K$2:$K$100,MATCH(B95,'Short_TCAD'!$A$2:$A$100,0))),"",INDEX('Short_TCAD'!$K$2:$K$100,MATCH(B95,'Short_TCAD'!$A$2:$A$100,0))),"")</x:f>
        <x:v>0.538</x:v>
      </x:c>
      <x:c r="Z95" s="100" t="n">
        <x:f>IFERROR(IF(ISBLANK(INDEX('Short_TCAD'!$L$2:$L$100,MATCH(B95,'Short_TCAD'!$A$2:$A$100,0))),"",INDEX('Short_TCAD'!$L$2:$L$100,MATCH(B95,'Short_TCAD'!$A$2:$A$100,0))),"")</x:f>
        <x:v>78.377</x:v>
      </x:c>
      <x:c r="AA95" s="96" t="n">
        <x:f>IFERROR(IF(ISBLANK(INDEX('Short_TCAD'!$M$2:$M$100,MATCH(B95,'Short_TCAD'!$A$2:$A$100,0))),"",INDEX('Short_TCAD'!$M$2:$M$100,MATCH(B95,'Short_TCAD'!$A$2:$A$100,0))),"")</x:f>
        <x:v>0.001134</x:v>
      </x:c>
      <x:c r="AB95" s="96" t="n">
        <x:f>IFERROR(IF(ISBLANK(INDEX('Short_TCAD'!$N$2:$N$100,MATCH(B95,'Short_TCAD'!$A$2:$A$100,0))),"",INDEX('Short_TCAD'!$N$2:$N$100,MATCH(B95,'Short_TCAD'!$A$2:$A$100,0))),"")</x:f>
        <x:v>6.579e-11</x:v>
      </x:c>
      <x:c r="AC95" s="95" t="n">
        <x:f>IF(OR(NOT(ISNUMBER(AA95)),NOT(ISNUMBER(AB95))),"",AA95/AB95)</x:f>
        <x:v>17236662.106703147</x:v>
      </x:c>
      <x:c r="AD95" s="93" t="n">
        <x:f>IF(NOT(ISNUMBER(Y95)),"",ABS(Y95-T95)*1000)</x:f>
        <x:v>7.086666666667574</x:v>
      </x:c>
      <x:c r="AE95" s="93" t="n">
        <x:f>IF(NOT(ISNUMBER(Z95)),"",ABS(Z95-U95))</x:f>
        <x:v>2.0032099131065024</x:v>
      </x:c>
      <x:c r="AF95" s="93" t="n">
        <x:f>IF(NOT(ISNUMBER(AA95)),"",ABS(LOG10(AA95)-LOG10(V95)))</x:f>
        <x:v>0.020855866247380117</x:v>
      </x:c>
      <x:c r="AG95" s="93" t="n">
        <x:f>IF(NOT(ISNUMBER(AB95)),"",ABS(LOG10(AB95)-LOG10(W95)))</x:f>
        <x:v>0.6211402798499002</x:v>
      </x:c>
      <x:c r="AH95" s="93" t="n">
        <x:f>IF(NOT(ISNUMBER(AC95)),"",ABS(LOG10(AC95)-LOG10(X95)))</x:f>
        <x:v>0.6002844136025391</x:v>
      </x:c>
      <x:c r="AI95" s="85" t="str">
        <x:f>IF(OR(NOT(ISNUMBER(Y95)),NOT(ISNUMBER(Z95)),NOT(ISNUMBER(AA95)),NOT(ISNUMBER(AB95))),"",IF(AND(Y95&gt;=0.3,Y95&lt;=1.2,Z95&lt;=200,AA95&gt;=1E-4,AB95&lt;=1E-6),"PASS","FAIL"))</x:f>
        <x:v>PASS</x:v>
      </x:c>
      <x:c r="AJ95" s="85" t="str"/>
    </x:row>
    <x:row r="96">
      <x:c r="A96" s="85" t="str">
        <x:v>S090-45</x:v>
      </x:c>
      <x:c r="B96" s="85" t="str">
        <x:v>R094</x:v>
      </x:c>
      <x:c r="C96" s="93" t="n">
        <x:v>0.09</x:v>
      </x:c>
      <x:c r="D96" s="93" t="str">
        <x:v>Practical</x:v>
      </x:c>
      <x:c r="E96" s="93" t="n">
        <x:v>1</x:v>
      </x:c>
      <x:c r="F96" s="94" t="n">
        <x:v>5492</x:v>
      </x:c>
      <x:c r="G96" s="93" t="n">
        <x:v>0.8329085359048841</x:v>
      </x:c>
      <x:c r="H96" s="93" t="n">
        <x:v>85.83566872149188</x:v>
      </x:c>
      <x:c r="I96" s="95" t="n">
        <x:v>0.0012675151265527317</x:v>
      </x:c>
      <x:c r="J96" s="95" t="n">
        <x:v>1.9873248306218954e-15</x:v>
      </x:c>
      <x:c r="K96" s="95" t="n">
        <x:v>637799672716.8588</x:v>
      </x:c>
      <x:c r="L96" s="95" t="n">
        <x:v>73007029817.96191</x:v>
      </x:c>
      <x:c r="M96" s="95" t="n">
        <x:v>9.501885355305319</x:v>
      </x:c>
      <x:c r="N96" s="95" t="n">
        <x:v>707274435073135.9</x:v>
      </x:c>
      <x:c r="O96" s="95" t="n">
        <x:v>13.783697118561399</x:v>
      </x:c>
      <x:c r="P96" s="93" t="n">
        <x:v>0.20890681147751594</x:v>
      </x:c>
      <x:c r="Q96" s="95" t="n">
        <x:v>83701969122463.39</x:v>
      </x:c>
      <x:c r="R96" s="95" t="n">
        <x:v>8.023393385693645</x:v>
      </x:c>
      <x:c r="S96" s="97" t="n">
        <x:v>0.9066666666666666</x:v>
      </x:c>
      <x:c r="T96" s="93" t="n">
        <x:v>0.8350300000000025</x:v>
      </x:c>
      <x:c r="U96" s="98" t="n">
        <x:v>85.79633831112982</x:v>
      </x:c>
      <x:c r="V96" s="95" t="n">
        <x:v>0.0012160066255677761</x:v>
      </x:c>
      <x:c r="W96" s="95" t="n">
        <x:v>1.9951871499733835e-15</x:v>
      </x:c>
      <x:c r="X96" s="95" t="n">
        <x:v>609469956532.1469</x:v>
      </x:c>
      <x:c r="Y96" s="99" t="n">
        <x:f>IFERROR(IF(ISBLANK(INDEX('Short_TCAD'!$K$2:$K$100,MATCH(B96,'Short_TCAD'!$A$2:$A$100,0))),"",INDEX('Short_TCAD'!$K$2:$K$100,MATCH(B96,'Short_TCAD'!$A$2:$A$100,0))),"")</x:f>
        <x:v>0.749</x:v>
      </x:c>
      <x:c r="Z96" s="100" t="n">
        <x:f>IFERROR(IF(ISBLANK(INDEX('Short_TCAD'!$L$2:$L$100,MATCH(B96,'Short_TCAD'!$A$2:$A$100,0))),"",INDEX('Short_TCAD'!$L$2:$L$100,MATCH(B96,'Short_TCAD'!$A$2:$A$100,0))),"")</x:f>
        <x:v>77.285</x:v>
      </x:c>
      <x:c r="AA96" s="96" t="n">
        <x:f>IFERROR(IF(ISBLANK(INDEX('Short_TCAD'!$M$2:$M$100,MATCH(B96,'Short_TCAD'!$A$2:$A$100,0))),"",INDEX('Short_TCAD'!$M$2:$M$100,MATCH(B96,'Short_TCAD'!$A$2:$A$100,0))),"")</x:f>
        <x:v>0.001422</x:v>
      </x:c>
      <x:c r="AB96" s="96" t="n">
        <x:f>IFERROR(IF(ISBLANK(INDEX('Short_TCAD'!$N$2:$N$100,MATCH(B96,'Short_TCAD'!$A$2:$A$100,0))),"",INDEX('Short_TCAD'!$N$2:$N$100,MATCH(B96,'Short_TCAD'!$A$2:$A$100,0))),"")</x:f>
        <x:v>1.609e-14</x:v>
      </x:c>
      <x:c r="AC96" s="95" t="n">
        <x:f>IF(OR(NOT(ISNUMBER(AA96)),NOT(ISNUMBER(AB96))),"",AA96/AB96)</x:f>
        <x:v>88377874456.18396</x:v>
      </x:c>
      <x:c r="AD96" s="93" t="n">
        <x:f>IF(NOT(ISNUMBER(Y96)),"",ABS(Y96-T96)*1000)</x:f>
        <x:v>86.03000000000249</x:v>
      </x:c>
      <x:c r="AE96" s="93" t="n">
        <x:f>IF(NOT(ISNUMBER(Z96)),"",ABS(Z96-U96))</x:f>
        <x:v>8.511338311129819</x:v>
      </x:c>
      <x:c r="AF96" s="93" t="n">
        <x:f>IF(NOT(ISNUMBER(AA96)),"",ABS(LOG10(AA96)-LOG10(V96)))</x:f>
        <x:v>0.06796365514149993</x:v>
      </x:c>
      <x:c r="AG96" s="93" t="n">
        <x:f>IF(NOT(ISNUMBER(AB96)),"",ABS(LOG10(AB96)-LOG10(W96)))</x:f>
        <x:v>0.9065724050343</x:v>
      </x:c>
      <x:c r="AH96" s="93" t="n">
        <x:f>IF(NOT(ISNUMBER(AC96)),"",ABS(LOG10(AC96)-LOG10(X96)))</x:f>
        <x:v>0.8386087498929005</x:v>
      </x:c>
      <x:c r="AI96" s="85" t="str">
        <x:f>IF(OR(NOT(ISNUMBER(Y96)),NOT(ISNUMBER(Z96)),NOT(ISNUMBER(AA96)),NOT(ISNUMBER(AB96))),"",IF(AND(Y96&gt;=0.3,Y96&lt;=1.2,Z96&lt;=200,AA96&gt;=1E-4,AB96&lt;=1E-6),"PASS","FAIL"))</x:f>
        <x:v>PASS</x:v>
      </x:c>
      <x:c r="AJ96" s="85" t="str"/>
    </x:row>
    <x:row r="97">
      <x:c r="A97" s="85" t="str">
        <x:v>S090-46</x:v>
      </x:c>
      <x:c r="B97" s="85" t="str">
        <x:v>R095</x:v>
      </x:c>
      <x:c r="C97" s="93" t="n">
        <x:v>0.09</x:v>
      </x:c>
      <x:c r="D97" s="93" t="str">
        <x:v>Practical</x:v>
      </x:c>
      <x:c r="E97" s="93" t="n">
        <x:v>1</x:v>
      </x:c>
      <x:c r="F97" s="94" t="n">
        <x:v>25712</x:v>
      </x:c>
      <x:c r="G97" s="93" t="n">
        <x:v>0.520810351705069</x:v>
      </x:c>
      <x:c r="H97" s="93" t="n">
        <x:v>83.61785646552325</x:v>
      </x:c>
      <x:c r="I97" s="95" t="n">
        <x:v>0.0011811146082988608</x:v>
      </x:c>
      <x:c r="J97" s="95" t="n">
        <x:v>5.654206097176395e-9</x:v>
      </x:c>
      <x:c r="K97" s="95" t="n">
        <x:v>208891.32585539945</x:v>
      </x:c>
      <x:c r="L97" s="95" t="n">
        <x:v>10204781317.521288</x:v>
      </x:c>
      <x:c r="M97" s="95" t="n">
        <x:v>5.699038992641245</x:v>
      </x:c>
      <x:c r="N97" s="95" t="n">
        <x:v>149762629300309.2</x:v>
      </x:c>
      <x:c r="O97" s="95" t="n">
        <x:v>8.62707605883837</x:v>
      </x:c>
      <x:c r="P97" s="93" t="n">
        <x:v>0.44636333032752157</x:v>
      </x:c>
      <x:c r="Q97" s="95" t="n">
        <x:v>1043790634333.6644</x:v>
      </x:c>
      <x:c r="R97" s="95" t="n">
        <x:v>8.318727682278963</x:v>
      </x:c>
      <x:c r="S97" s="97" t="n">
        <x:v>0.99</x:v>
      </x:c>
      <x:c r="T97" s="93" t="n">
        <x:v>0.5058833333333334</x:v>
      </x:c>
      <x:c r="U97" s="98" t="n">
        <x:v>84.09487831001216</x:v>
      </x:c>
      <x:c r="V97" s="95" t="n">
        <x:v>0.0012341294125936288</x:v>
      </x:c>
      <x:c r="W97" s="95" t="n">
        <x:v>5.7506452480936795e-9</x:v>
      </x:c>
      <x:c r="X97" s="95" t="n">
        <x:v>214607.11961022788</x:v>
      </x:c>
      <x:c r="Y97" s="99" t="n">
        <x:f>IFERROR(IF(ISBLANK(INDEX('Short_TCAD'!$K$2:$K$100,MATCH(B97,'Short_TCAD'!$A$2:$A$100,0))),"",INDEX('Short_TCAD'!$K$2:$K$100,MATCH(B97,'Short_TCAD'!$A$2:$A$100,0))),"")</x:f>
        <x:v>0.513</x:v>
      </x:c>
      <x:c r="Z97" s="100" t="n">
        <x:f>IFERROR(IF(ISBLANK(INDEX('Short_TCAD'!$L$2:$L$100,MATCH(B97,'Short_TCAD'!$A$2:$A$100,0))),"",INDEX('Short_TCAD'!$L$2:$L$100,MATCH(B97,'Short_TCAD'!$A$2:$A$100,0))),"")</x:f>
        <x:v>90.97</x:v>
      </x:c>
      <x:c r="AA97" s="96" t="n">
        <x:f>IFERROR(IF(ISBLANK(INDEX('Short_TCAD'!$M$2:$M$100,MATCH(B97,'Short_TCAD'!$A$2:$A$100,0))),"",INDEX('Short_TCAD'!$M$2:$M$100,MATCH(B97,'Short_TCAD'!$A$2:$A$100,0))),"")</x:f>
        <x:v>0.001362</x:v>
      </x:c>
      <x:c r="AB97" s="96" t="n">
        <x:f>IFERROR(IF(ISBLANK(INDEX('Short_TCAD'!$N$2:$N$100,MATCH(B97,'Short_TCAD'!$A$2:$A$100,0))),"",INDEX('Short_TCAD'!$N$2:$N$100,MATCH(B97,'Short_TCAD'!$A$2:$A$100,0))),"")</x:f>
        <x:v>7.587e-9</x:v>
      </x:c>
      <x:c r="AC97" s="95" t="n">
        <x:f>IF(OR(NOT(ISNUMBER(AA97)),NOT(ISNUMBER(AB97))),"",AA97/AB97)</x:f>
        <x:v>179517.59588770263</x:v>
      </x:c>
      <x:c r="AD97" s="93" t="n">
        <x:f>IF(NOT(ISNUMBER(Y97)),"",ABS(Y97-T97)*1000)</x:f>
        <x:v>7.11666666666666</x:v>
      </x:c>
      <x:c r="AE97" s="93" t="n">
        <x:f>IF(NOT(ISNUMBER(Z97)),"",ABS(Z97-U97))</x:f>
        <x:v>6.875121689987836</x:v>
      </x:c>
      <x:c r="AF97" s="93" t="n">
        <x:f>IF(NOT(ISNUMBER(AA97)),"",ABS(LOG10(AA97)-LOG10(V97)))</x:f>
        <x:v>0.04281640474467974</x:v>
      </x:c>
      <x:c r="AG97" s="93" t="n">
        <x:f>IF(NOT(ISNUMBER(AB97)),"",ABS(LOG10(AB97)-LOG10(W97)))</x:f>
        <x:v>0.1203535068588586</x:v>
      </x:c>
      <x:c r="AH97" s="93" t="n">
        <x:f>IF(NOT(ISNUMBER(AC97)),"",ABS(LOG10(AC97)-LOG10(X97)))</x:f>
        <x:v>0.07753710211418063</x:v>
      </x:c>
      <x:c r="AI97" s="85" t="str">
        <x:f>IF(OR(NOT(ISNUMBER(Y97)),NOT(ISNUMBER(Z97)),NOT(ISNUMBER(AA97)),NOT(ISNUMBER(AB97))),"",IF(AND(Y97&gt;=0.3,Y97&lt;=1.2,Z97&lt;=200,AA97&gt;=1E-4,AB97&lt;=1E-6),"PASS","FAIL"))</x:f>
        <x:v>PASS</x:v>
      </x:c>
      <x:c r="AJ97" s="85" t="str"/>
    </x:row>
    <x:row r="98">
      <x:c r="A98" s="85" t="str">
        <x:v>S090-47</x:v>
      </x:c>
      <x:c r="B98" s="85" t="str">
        <x:v>R096</x:v>
      </x:c>
      <x:c r="C98" s="93" t="n">
        <x:v>0.09</x:v>
      </x:c>
      <x:c r="D98" s="93" t="str">
        <x:v>Practical</x:v>
      </x:c>
      <x:c r="E98" s="93" t="n">
        <x:v>1</x:v>
      </x:c>
      <x:c r="F98" s="94" t="n">
        <x:v>12748</x:v>
      </x:c>
      <x:c r="G98" s="93" t="n">
        <x:v>0.5094411109066282</x:v>
      </x:c>
      <x:c r="H98" s="93" t="n">
        <x:v>108.45149871438123</x:v>
      </x:c>
      <x:c r="I98" s="95" t="n">
        <x:v>0.001076498653948969</x:v>
      </x:c>
      <x:c r="J98" s="95" t="n">
        <x:v>4.171091121781701e-8</x:v>
      </x:c>
      <x:c r="K98" s="95" t="n">
        <x:v>25808.56237657876</x:v>
      </x:c>
      <x:c r="L98" s="95" t="n">
        <x:v>95536442890.21588</x:v>
      </x:c>
      <x:c r="M98" s="95" t="n">
        <x:v>14.389988866184817</x:v>
      </x:c>
      <x:c r="N98" s="95" t="n">
        <x:v>173453342725536.56</x:v>
      </x:c>
      <x:c r="O98" s="95" t="n">
        <x:v>13.801473350515712</x:v>
      </x:c>
      <x:c r="P98" s="93" t="n">
        <x:v>0.13984211410842917</x:v>
      </x:c>
      <x:c r="Q98" s="95" t="n">
        <x:v>15979284272773.5</x:v>
      </x:c>
      <x:c r="R98" s="95" t="n">
        <x:v>5.916720875073542</x:v>
      </x:c>
      <x:c r="S98" s="97" t="n">
        <x:v>0.98</x:v>
      </x:c>
      <x:c r="T98" s="93" t="n">
        <x:v>0.5408100000000003</x:v>
      </x:c>
      <x:c r="U98" s="98" t="n">
        <x:v>108.4084594492411</x:v>
      </x:c>
      <x:c r="V98" s="95" t="n">
        <x:v>0.0011433015714177991</x:v>
      </x:c>
      <x:c r="W98" s="95" t="n">
        <x:v>4.1497041635179844e-8</x:v>
      </x:c>
      <x:c r="X98" s="95" t="n">
        <x:v>27551.399482139113</x:v>
      </x:c>
      <x:c r="Y98" s="99" t="n">
        <x:f>IFERROR(IF(ISBLANK(INDEX('Short_TCAD'!$K$2:$K$100,MATCH(B98,'Short_TCAD'!$A$2:$A$100,0))),"",INDEX('Short_TCAD'!$K$2:$K$100,MATCH(B98,'Short_TCAD'!$A$2:$A$100,0))),"")</x:f>
        <x:v>0.584</x:v>
      </x:c>
      <x:c r="Z98" s="100" t="n">
        <x:f>IFERROR(IF(ISBLANK(INDEX('Short_TCAD'!$L$2:$L$100,MATCH(B98,'Short_TCAD'!$A$2:$A$100,0))),"",INDEX('Short_TCAD'!$L$2:$L$100,MATCH(B98,'Short_TCAD'!$A$2:$A$100,0))),"")</x:f>
        <x:v>78.651</x:v>
      </x:c>
      <x:c r="AA98" s="96" t="n">
        <x:f>IFERROR(IF(ISBLANK(INDEX('Short_TCAD'!$M$2:$M$100,MATCH(B98,'Short_TCAD'!$A$2:$A$100,0))),"",INDEX('Short_TCAD'!$M$2:$M$100,MATCH(B98,'Short_TCAD'!$A$2:$A$100,0))),"")</x:f>
        <x:v>0.0009889</x:v>
      </x:c>
      <x:c r="AB98" s="96" t="n">
        <x:f>IFERROR(IF(ISBLANK(INDEX('Short_TCAD'!$N$2:$N$100,MATCH(B98,'Short_TCAD'!$A$2:$A$100,0))),"",INDEX('Short_TCAD'!$N$2:$N$100,MATCH(B98,'Short_TCAD'!$A$2:$A$100,0))),"")</x:f>
        <x:v>4.645e-10</x:v>
      </x:c>
      <x:c r="AC98" s="95" t="n">
        <x:f>IF(OR(NOT(ISNUMBER(AA98)),NOT(ISNUMBER(AB98))),"",AA98/AB98)</x:f>
        <x:v>2128955.8665231434</x:v>
      </x:c>
      <x:c r="AD98" s="93" t="n">
        <x:f>IF(NOT(ISNUMBER(Y98)),"",ABS(Y98-T98)*1000)</x:f>
        <x:v>43.189999999999614</x:v>
      </x:c>
      <x:c r="AE98" s="93" t="n">
        <x:f>IF(NOT(ISNUMBER(Z98)),"",ABS(Z98-U98))</x:f>
        <x:v>29.757459449241097</x:v>
      </x:c>
      <x:c r="AF98" s="93" t="n">
        <x:f>IF(NOT(ISNUMBER(AA98)),"",ABS(LOG10(AA98)-LOG10(V98)))</x:f>
        <x:v>0.06300842351947988</x:v>
      </x:c>
      <x:c r="AG98" s="93" t="n">
        <x:f>IF(NOT(ISNUMBER(AB98)),"",ABS(LOG10(AB98)-LOG10(W98)))</x:f>
        <x:v>1.9510314182062105</x:v>
      </x:c>
      <x:c r="AH98" s="93" t="n">
        <x:f>IF(NOT(ISNUMBER(AC98)),"",ABS(LOG10(AC98)-LOG10(X98)))</x:f>
        <x:v>1.8880229946867306</x:v>
      </x:c>
      <x:c r="AI98" s="85" t="str">
        <x:f>IF(OR(NOT(ISNUMBER(Y98)),NOT(ISNUMBER(Z98)),NOT(ISNUMBER(AA98)),NOT(ISNUMBER(AB98))),"",IF(AND(Y98&gt;=0.3,Y98&lt;=1.2,Z98&lt;=200,AA98&gt;=1E-4,AB98&lt;=1E-6),"PASS","FAIL"))</x:f>
        <x:v>PASS</x:v>
      </x:c>
      <x:c r="AJ98" s="85" t="str"/>
    </x:row>
    <x:row r="99">
      <x:c r="A99" s="85" t="str">
        <x:v>S090-48</x:v>
      </x:c>
      <x:c r="B99" s="85" t="str">
        <x:v>R097</x:v>
      </x:c>
      <x:c r="C99" s="93" t="n">
        <x:v>0.09</x:v>
      </x:c>
      <x:c r="D99" s="93" t="str">
        <x:v>Practical</x:v>
      </x:c>
      <x:c r="E99" s="93" t="n">
        <x:v>1</x:v>
      </x:c>
      <x:c r="F99" s="94" t="n">
        <x:v>9872</x:v>
      </x:c>
      <x:c r="G99" s="93" t="n">
        <x:v>0.5850449032137865</x:v>
      </x:c>
      <x:c r="H99" s="93" t="n">
        <x:v>85.71883577367895</x:v>
      </x:c>
      <x:c r="I99" s="95" t="n">
        <x:v>0.0009612465106080845</x:v>
      </x:c>
      <x:c r="J99" s="95" t="n">
        <x:v>6.192268981777707e-11</x:v>
      </x:c>
      <x:c r="K99" s="95" t="n">
        <x:v>15523332.61744268</x:v>
      </x:c>
      <x:c r="L99" s="95" t="n">
        <x:v>14362986753.419447</x:v>
      </x:c>
      <x:c r="M99" s="95" t="n">
        <x:v>8.740896884101742</x:v>
      </x:c>
      <x:c r="N99" s="95" t="n">
        <x:v>734784345416845.8</x:v>
      </x:c>
      <x:c r="O99" s="95" t="n">
        <x:v>8.865620127459785</x:v>
      </x:c>
      <x:c r="P99" s="93" t="n">
        <x:v>0.12905269660691437</x:v>
      </x:c>
      <x:c r="Q99" s="95" t="n">
        <x:v>19596205149235.117</x:v>
      </x:c>
      <x:c r="R99" s="95" t="n">
        <x:v>4.057173595456687</x:v>
      </x:c>
      <x:c r="S99" s="97" t="n">
        <x:v>0.9866666666666667</x:v>
      </x:c>
      <x:c r="T99" s="93" t="n">
        <x:v>0.6009833333333318</x:v>
      </x:c>
      <x:c r="U99" s="98" t="n">
        <x:v>85.0777312593367</x:v>
      </x:c>
      <x:c r="V99" s="95" t="n">
        <x:v>0.0009635923750229348</x:v>
      </x:c>
      <x:c r="W99" s="95" t="n">
        <x:v>5.821680471991833e-11</x:v>
      </x:c>
      <x:c r="X99" s="95" t="n">
        <x:v>16551790.83872411</x:v>
      </x:c>
      <x:c r="Y99" s="99" t="n">
        <x:f>IFERROR(IF(ISBLANK(INDEX('Short_TCAD'!$K$2:$K$100,MATCH(B99,'Short_TCAD'!$A$2:$A$100,0))),"",INDEX('Short_TCAD'!$K$2:$K$100,MATCH(B99,'Short_TCAD'!$A$2:$A$100,0))),"")</x:f>
        <x:v>0.591</x:v>
      </x:c>
      <x:c r="Z99" s="100" t="n">
        <x:f>IFERROR(IF(ISBLANK(INDEX('Short_TCAD'!$L$2:$L$100,MATCH(B99,'Short_TCAD'!$A$2:$A$100,0))),"",INDEX('Short_TCAD'!$L$2:$L$100,MATCH(B99,'Short_TCAD'!$A$2:$A$100,0))),"")</x:f>
        <x:v>85.422</x:v>
      </x:c>
      <x:c r="AA99" s="96" t="n">
        <x:f>IFERROR(IF(ISBLANK(INDEX('Short_TCAD'!$M$2:$M$100,MATCH(B99,'Short_TCAD'!$A$2:$A$100,0))),"",INDEX('Short_TCAD'!$M$2:$M$100,MATCH(B99,'Short_TCAD'!$A$2:$A$100,0))),"")</x:f>
        <x:v>0.001555</x:v>
      </x:c>
      <x:c r="AB99" s="96" t="n">
        <x:f>IFERROR(IF(ISBLANK(INDEX('Short_TCAD'!$N$2:$N$100,MATCH(B99,'Short_TCAD'!$A$2:$A$100,0))),"",INDEX('Short_TCAD'!$N$2:$N$100,MATCH(B99,'Short_TCAD'!$A$2:$A$100,0))),"")</x:f>
        <x:v>1.069e-9</x:v>
      </x:c>
      <x:c r="AC99" s="95" t="n">
        <x:f>IF(OR(NOT(ISNUMBER(AA99)),NOT(ISNUMBER(AB99))),"",AA99/AB99)</x:f>
        <x:v>1454630.4957904585</x:v>
      </x:c>
      <x:c r="AD99" s="93" t="n">
        <x:f>IF(NOT(ISNUMBER(Y99)),"",ABS(Y99-T99)*1000)</x:f>
        <x:v>9.983333333331789</x:v>
      </x:c>
      <x:c r="AE99" s="93" t="n">
        <x:f>IF(NOT(ISNUMBER(Z99)),"",ABS(Z99-U99))</x:f>
        <x:v>0.3442687406632956</x:v>
      </x:c>
      <x:c r="AF99" s="93" t="n">
        <x:f>IF(NOT(ISNUMBER(AA99)),"",ABS(LOG10(AA99)-LOG10(V99)))</x:f>
        <x:v>0.20783703862700964</x:v>
      </x:c>
      <x:c r="AG99" s="93" t="n">
        <x:f>IF(NOT(ISNUMBER(AB99)),"",ABS(LOG10(AB99)-LOG10(W99)))</x:f>
        <x:v>1.2639293400830791</x:v>
      </x:c>
      <x:c r="AH99" s="93" t="n">
        <x:f>IF(NOT(ISNUMBER(AC99)),"",ABS(LOG10(AC99)-LOG10(X99)))</x:f>
        <x:v>1.05609230145612</x:v>
      </x:c>
      <x:c r="AI99" s="85" t="str">
        <x:f>IF(OR(NOT(ISNUMBER(Y99)),NOT(ISNUMBER(Z99)),NOT(ISNUMBER(AA99)),NOT(ISNUMBER(AB99))),"",IF(AND(Y99&gt;=0.3,Y99&lt;=1.2,Z99&lt;=200,AA99&gt;=1E-4,AB99&lt;=1E-6),"PASS","FAIL"))</x:f>
        <x:v>PASS</x:v>
      </x:c>
      <x:c r="AJ99" s="85" t="str"/>
    </x:row>
    <x:row r="100">
      <x:c r="A100" s="85" t="str">
        <x:v>S090-49</x:v>
      </x:c>
      <x:c r="B100" s="85" t="str">
        <x:v>R098</x:v>
      </x:c>
      <x:c r="C100" s="93" t="n">
        <x:v>0.09</x:v>
      </x:c>
      <x:c r="D100" s="93" t="str">
        <x:v>Practical</x:v>
      </x:c>
      <x:c r="E100" s="93" t="n">
        <x:v>1</x:v>
      </x:c>
      <x:c r="F100" s="94" t="n">
        <x:v>3212</x:v>
      </x:c>
      <x:c r="G100" s="93" t="n">
        <x:v>0.6228040721641478</x:v>
      </x:c>
      <x:c r="H100" s="93" t="n">
        <x:v>74.487</x:v>
      </x:c>
      <x:c r="I100" s="95" t="n">
        <x:v>0.0009510978786469039</x:v>
      </x:c>
      <x:c r="J100" s="95" t="n">
        <x:v>7.34115257551954e-12</x:v>
      </x:c>
      <x:c r="K100" s="95" t="n">
        <x:v>129557023.75925538</x:v>
      </x:c>
      <x:c r="L100" s="95" t="n">
        <x:v>84736749958.1665</x:v>
      </x:c>
      <x:c r="M100" s="95" t="n">
        <x:v>13.828942940578285</x:v>
      </x:c>
      <x:c r="N100" s="95" t="n">
        <x:v>130346560778911.52</x:v>
      </x:c>
      <x:c r="O100" s="95" t="n">
        <x:v>10.979845420378691</x:v>
      </x:c>
      <x:c r="P100" s="93" t="n">
        <x:v>0.4231216338367629</x:v>
      </x:c>
      <x:c r="Q100" s="95" t="n">
        <x:v>15563465147396.566</x:v>
      </x:c>
      <x:c r="R100" s="95" t="n">
        <x:v>5.977685439846348</x:v>
      </x:c>
      <x:c r="S100" s="97" t="n">
        <x:v>0.97</x:v>
      </x:c>
      <x:c r="T100" s="93" t="n">
        <x:v>0.5817999999999964</x:v>
      </x:c>
      <x:c r="U100" s="98" t="n">
        <x:v>76.45354415796876</x:v>
      </x:c>
      <x:c r="V100" s="95" t="n">
        <x:v>0.0008992623861916702</x:v>
      </x:c>
      <x:c r="W100" s="95" t="n">
        <x:v>6.95816072178086e-12</x:v>
      </x:c>
      <x:c r="X100" s="95" t="n">
        <x:v>129238518.9345719</x:v>
      </x:c>
      <x:c r="Y100" s="99" t="n">
        <x:f>IFERROR(IF(ISBLANK(INDEX('Short_TCAD'!$K$2:$K$100,MATCH(B100,'Short_TCAD'!$A$2:$A$100,0))),"",INDEX('Short_TCAD'!$K$2:$K$100,MATCH(B100,'Short_TCAD'!$A$2:$A$100,0))),"")</x:f>
        <x:v>0.605</x:v>
      </x:c>
      <x:c r="Z100" s="100" t="n">
        <x:f>IFERROR(IF(ISBLANK(INDEX('Short_TCAD'!$L$2:$L$100,MATCH(B100,'Short_TCAD'!$A$2:$A$100,0))),"",INDEX('Short_TCAD'!$L$2:$L$100,MATCH(B100,'Short_TCAD'!$A$2:$A$100,0))),"")</x:f>
        <x:v>75.083</x:v>
      </x:c>
      <x:c r="AA100" s="96" t="n">
        <x:f>IFERROR(IF(ISBLANK(INDEX('Short_TCAD'!$M$2:$M$100,MATCH(B100,'Short_TCAD'!$A$2:$A$100,0))),"",INDEX('Short_TCAD'!$M$2:$M$100,MATCH(B100,'Short_TCAD'!$A$2:$A$100,0))),"")</x:f>
        <x:v>0.0009632</x:v>
      </x:c>
      <x:c r="AB100" s="96" t="n">
        <x:f>IFERROR(IF(ISBLANK(INDEX('Short_TCAD'!$N$2:$N$100,MATCH(B100,'Short_TCAD'!$A$2:$A$100,0))),"",INDEX('Short_TCAD'!$N$2:$N$100,MATCH(B100,'Short_TCAD'!$A$2:$A$100,0))),"")</x:f>
        <x:v>3.277e-12</x:v>
      </x:c>
      <x:c r="AC100" s="95" t="n">
        <x:f>IF(OR(NOT(ISNUMBER(AA100)),NOT(ISNUMBER(AB100))),"",AA100/AB100)</x:f>
        <x:v>293927372.5968874</x:v>
      </x:c>
      <x:c r="AD100" s="93" t="n">
        <x:f>IF(NOT(ISNUMBER(Y100)),"",ABS(Y100-T100)*1000)</x:f>
        <x:v>23.200000000003552</x:v>
      </x:c>
      <x:c r="AE100" s="93" t="n">
        <x:f>IF(NOT(ISNUMBER(Z100)),"",ABS(Z100-U100))</x:f>
        <x:v>1.3705441579687658</x:v>
      </x:c>
      <x:c r="AF100" s="93" t="n">
        <x:f>IF(NOT(ISNUMBER(AA100)),"",ABS(LOG10(AA100)-LOG10(V100)))</x:f>
        <x:v>0.02983004552978974</x:v>
      </x:c>
      <x:c r="AG100" s="93" t="n">
        <x:f>IF(NOT(ISNUMBER(AB100)),"",ABS(LOG10(AB100)-LOG10(W100)))</x:f>
        <x:v>0.3270180146152999</x:v>
      </x:c>
      <x:c r="AH100" s="93" t="n">
        <x:f>IF(NOT(ISNUMBER(AC100)),"",ABS(LOG10(AC100)-LOG10(X100)))</x:f>
        <x:v>0.35684806014512915</x:v>
      </x:c>
      <x:c r="AI100" s="85" t="str">
        <x:f>IF(OR(NOT(ISNUMBER(Y100)),NOT(ISNUMBER(Z100)),NOT(ISNUMBER(AA100)),NOT(ISNUMBER(AB100))),"",IF(AND(Y100&gt;=0.3,Y100&lt;=1.2,Z100&lt;=200,AA100&gt;=1E-4,AB100&lt;=1E-6),"PASS","FAIL"))</x:f>
        <x:v>PASS</x:v>
      </x:c>
      <x:c r="AJ100" s="85" t="str"/>
    </x:row>
    <x:row r="101">
      <x:c r="A101" s="85" t="str">
        <x:v>S090-50</x:v>
      </x:c>
      <x:c r="B101" s="85" t="str">
        <x:v>R099</x:v>
      </x:c>
      <x:c r="C101" s="93" t="n">
        <x:v>0.09</x:v>
      </x:c>
      <x:c r="D101" s="93" t="str">
        <x:v>Practical</x:v>
      </x:c>
      <x:c r="E101" s="93" t="n">
        <x:v>1</x:v>
      </x:c>
      <x:c r="F101" s="94" t="n">
        <x:v>8833</x:v>
      </x:c>
      <x:c r="G101" s="93" t="n">
        <x:v>0.9146500329872123</x:v>
      </x:c>
      <x:c r="H101" s="93" t="n">
        <x:v>84.65469436270692</x:v>
      </x:c>
      <x:c r="I101" s="95" t="n">
        <x:v>0.0004732359829030208</x:v>
      </x:c>
      <x:c r="J101" s="95" t="n">
        <x:v>3.139715476869961e-15</x:v>
      </x:c>
      <x:c r="K101" s="95" t="n">
        <x:v>150725754097.56503</x:v>
      </x:c>
      <x:c r="L101" s="95" t="n">
        <x:v>39445609866.06845</x:v>
      </x:c>
      <x:c r="M101" s="95" t="n">
        <x:v>9.693071010165093</x:v>
      </x:c>
      <x:c r="N101" s="95" t="n">
        <x:v>283750161120411.2</x:v>
      </x:c>
      <x:c r="O101" s="95" t="n">
        <x:v>11.135261511616818</x:v>
      </x:c>
      <x:c r="P101" s="93" t="n">
        <x:v>0.42790555656025236</x:v>
      </x:c>
      <x:c r="Q101" s="95" t="n">
        <x:v>70174105494634.89</x:v>
      </x:c>
      <x:c r="R101" s="95" t="n">
        <x:v>8.844949142031012</x:v>
      </x:c>
      <x:c r="S101" s="97" t="n">
        <x:v>0.9666666666666667</x:v>
      </x:c>
      <x:c r="T101" s="93" t="n">
        <x:v>0.9456666666666662</x:v>
      </x:c>
      <x:c r="U101" s="98" t="n">
        <x:v>89.12157430804902</x:v>
      </x:c>
      <x:c r="V101" s="95" t="n">
        <x:v>0.0005197552645093416</x:v>
      </x:c>
      <x:c r="W101" s="95" t="n">
        <x:v>2.710570053405835e-15</x:v>
      </x:c>
      <x:c r="X101" s="95" t="n">
        <x:v>191751275292.17273</x:v>
      </x:c>
      <x:c r="Y101" s="99" t="n">
        <x:f>IFERROR(IF(ISBLANK(INDEX('Short_TCAD'!$K$2:$K$100,MATCH(B101,'Short_TCAD'!$A$2:$A$100,0))),"",INDEX('Short_TCAD'!$K$2:$K$100,MATCH(B101,'Short_TCAD'!$A$2:$A$100,0))),"")</x:f>
        <x:v>0.934</x:v>
      </x:c>
      <x:c r="Z101" s="100" t="n">
        <x:f>IFERROR(IF(ISBLANK(INDEX('Short_TCAD'!$L$2:$L$100,MATCH(B101,'Short_TCAD'!$A$2:$A$100,0))),"",INDEX('Short_TCAD'!$L$2:$L$100,MATCH(B101,'Short_TCAD'!$A$2:$A$100,0))),"")</x:f>
        <x:v>84.811</x:v>
      </x:c>
      <x:c r="AA101" s="96" t="n">
        <x:f>IFERROR(IF(ISBLANK(INDEX('Short_TCAD'!$M$2:$M$100,MATCH(B101,'Short_TCAD'!$A$2:$A$100,0))),"",INDEX('Short_TCAD'!$M$2:$M$100,MATCH(B101,'Short_TCAD'!$A$2:$A$100,0))),"")</x:f>
        <x:v>0.0007812</x:v>
      </x:c>
      <x:c r="AB101" s="96" t="n">
        <x:f>IFERROR(IF(ISBLANK(INDEX('Short_TCAD'!$N$2:$N$100,MATCH(B101,'Short_TCAD'!$A$2:$A$100,0))),"",INDEX('Short_TCAD'!$N$2:$N$100,MATCH(B101,'Short_TCAD'!$A$2:$A$100,0))),"")</x:f>
        <x:v>1.778e-15</x:v>
      </x:c>
      <x:c r="AC101" s="95" t="n">
        <x:f>IF(OR(NOT(ISNUMBER(AA101)),NOT(ISNUMBER(AB101))),"",AA101/AB101)</x:f>
        <x:v>439370078740.1575</x:v>
      </x:c>
      <x:c r="AD101" s="93" t="n">
        <x:f>IF(NOT(ISNUMBER(Y101)),"",ABS(Y101-T101)*1000)</x:f>
        <x:v>11.66666666666616</x:v>
      </x:c>
      <x:c r="AE101" s="93" t="n">
        <x:f>IF(NOT(ISNUMBER(Z101)),"",ABS(Z101-U101))</x:f>
        <x:v>4.310574308049013</x:v>
      </x:c>
      <x:c r="AF101" s="93" t="n">
        <x:f>IF(NOT(ISNUMBER(AA101)),"",ABS(LOG10(AA101)-LOG10(V101)))</x:f>
        <x:v>0.17696333769788009</x:v>
      </x:c>
      <x:c r="AG101" s="93" t="n">
        <x:f>IF(NOT(ISNUMBER(AB101)),"",ABS(LOG10(AB101)-LOG10(W101)))</x:f>
        <x:v>0.18312887926370003</x:v>
      </x:c>
      <x:c r="AH101" s="93" t="n">
        <x:f>IF(NOT(ISNUMBER(AC101)),"",ABS(LOG10(AC101)-LOG10(X101)))</x:f>
        <x:v>0.36009221696159877</x:v>
      </x:c>
      <x:c r="AI101" s="85" t="str">
        <x:f>IF(OR(NOT(ISNUMBER(Y101)),NOT(ISNUMBER(Z101)),NOT(ISNUMBER(AA101)),NOT(ISNUMBER(AB101))),"",IF(AND(Y101&gt;=0.3,Y101&lt;=1.2,Z101&lt;=200,AA101&gt;=1E-4,AB101&lt;=1E-6),"PASS","FAIL"))</x:f>
        <x:v>PASS</x:v>
      </x:c>
      <x:c r="AJ101" s="85" t="str"/>
    </x:row>
  </x:sheetData>
  <x:conditionalFormatting sqref="AI2:AI101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9241709f7394c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4" hidden="0" customWidth="1"/>
  </x:cols>
  <x:sheetData>
    <x:row r="1" ht="42" customHeight="1">
      <x:c r="A1" s="87" t="str">
        <x:v>CaseID</x:v>
      </x:c>
      <x:c r="B1" s="87" t="str">
        <x:v>RecipeID</x:v>
      </x:c>
      <x:c r="C1" s="87" t="str">
        <x:v>Lg_um</x:v>
      </x:c>
      <x:c r="D1" s="87" t="str">
        <x:v>CaseType</x:v>
      </x:c>
      <x:c r="E1" s="87" t="str">
        <x:v>ToleranceScale</x:v>
      </x:c>
      <x:c r="F1" s="87" t="str">
        <x:v>FeasibleCandidates</x:v>
      </x:c>
      <x:c r="G1" s="88" t="str">
        <x:v>Vth_Target_V</x:v>
      </x:c>
      <x:c r="H1" s="88" t="str">
        <x:v>SS_Target_mVdec</x:v>
      </x:c>
      <x:c r="I1" s="88" t="str">
        <x:v>Ion_Target_A</x:v>
      </x:c>
      <x:c r="J1" s="88" t="str">
        <x:v>Ioff_Target_A</x:v>
      </x:c>
      <x:c r="K1" s="88" t="str">
        <x:v>OnOff_Target</x:v>
      </x:c>
      <x:c r="L1" s="89" t="str">
        <x:v>LDD_Dose_cm-2</x:v>
      </x:c>
      <x:c r="M1" s="89" t="str">
        <x:v>LDD_Energy_keV</x:v>
      </x:c>
      <x:c r="N1" s="89" t="str">
        <x:v>SD_Dose_cm-2</x:v>
      </x:c>
      <x:c r="O1" s="89" t="str">
        <x:v>SD_Energy_keV</x:v>
      </x:c>
      <x:c r="P1" s="89" t="str">
        <x:v>Anneal_s</x:v>
      </x:c>
      <x:c r="Q1" s="89" t="str">
        <x:v>Halo_Dose_cm-2</x:v>
      </x:c>
      <x:c r="R1" s="89" t="str">
        <x:v>Halo_Energy_keV</x:v>
      </x:c>
      <x:c r="S1" s="89" t="str">
        <x:v>ValidProbability</x:v>
      </x:c>
      <x:c r="T1" s="90" t="str">
        <x:v>Pred_Vth_V</x:v>
      </x:c>
      <x:c r="U1" s="90" t="str">
        <x:v>Pred_SS_mVdec</x:v>
      </x:c>
      <x:c r="V1" s="90" t="str">
        <x:v>Pred_Ion_A</x:v>
      </x:c>
      <x:c r="W1" s="90" t="str">
        <x:v>Pred_Ioff_A</x:v>
      </x:c>
      <x:c r="X1" s="90" t="str">
        <x:v>Pred_OnOff</x:v>
      </x:c>
      <x:c r="Y1" s="91" t="str">
        <x:v>TCAD_Vth_V</x:v>
      </x:c>
      <x:c r="Z1" s="91" t="str">
        <x:v>TCAD_SS_mVdec</x:v>
      </x:c>
      <x:c r="AA1" s="91" t="str">
        <x:v>TCAD_Ion_A</x:v>
      </x:c>
      <x:c r="AB1" s="91" t="str">
        <x:v>TCAD_Ioff_A</x:v>
      </x:c>
      <x:c r="AC1" s="91" t="str">
        <x:v>TCAD_OnOff</x:v>
      </x:c>
      <x:c r="AD1" s="91" t="str">
        <x:v>AbsErr_Vth_mV</x:v>
      </x:c>
      <x:c r="AE1" s="91" t="str">
        <x:v>AbsErr_SS_mVdec</x:v>
      </x:c>
      <x:c r="AF1" s="91" t="str">
        <x:v>AbsErr_Ion_dec</x:v>
      </x:c>
      <x:c r="AG1" s="91" t="str">
        <x:v>AbsErr_Ioff_dec</x:v>
      </x:c>
      <x:c r="AH1" s="91" t="str">
        <x:v>AbsErr_OnOff_dec</x:v>
      </x:c>
      <x:c r="AI1" s="91" t="str">
        <x:v>Actual_Practical</x:v>
      </x:c>
      <x:c r="AJ1" s="92" t="str">
        <x:v>Notes</x:v>
      </x:c>
    </x:row>
    <x:row r="2">
      <x:c r="A2" s="85" t="str">
        <x:v>L0180-01</x:v>
      </x:c>
      <x:c r="B2" s="85" t="str">
        <x:v>LR001</x:v>
      </x:c>
      <x:c r="C2" s="93" t="n">
        <x:v>0.18</x:v>
      </x:c>
      <x:c r="D2" s="93" t="str">
        <x:v>Practical</x:v>
      </x:c>
      <x:c r="E2" s="93" t="n">
        <x:v>1</x:v>
      </x:c>
      <x:c r="F2" s="94" t="n">
        <x:v>27001</x:v>
      </x:c>
      <x:c r="G2" s="93" t="n">
        <x:v>0.720635323068068</x:v>
      </x:c>
      <x:c r="H2" s="93" t="n">
        <x:v>98.394</x:v>
      </x:c>
      <x:c r="I2" s="95" t="n">
        <x:v>0.000342009353213332</x:v>
      </x:c>
      <x:c r="J2" s="95" t="n">
        <x:v>7.270180838490195e-12</x:v>
      </x:c>
      <x:c r="K2" s="95" t="n">
        <x:v>47042757.36892913</x:v>
      </x:c>
      <x:c r="L2" s="95" t="n">
        <x:v>512176553741860.2</x:v>
      </x:c>
      <x:c r="M2" s="95" t="n">
        <x:v>19.58891263856012</x:v>
      </x:c>
      <x:c r="N2" s="95" t="n">
        <x:v>544527405649565.25</x:v>
      </x:c>
      <x:c r="O2" s="95" t="n">
        <x:v>12.21995564570213</x:v>
      </x:c>
      <x:c r="P2" s="93"/>
      <x:c r="Q2" s="95"/>
      <x:c r="R2" s="95"/>
      <x:c r="S2" s="97" t="n">
        <x:v>1</x:v>
      </x:c>
      <x:c r="T2" s="93" t="n">
        <x:v>0.7230100000000015</x:v>
      </x:c>
      <x:c r="U2" s="98" t="n">
        <x:v>95.52388039104736</x:v>
      </x:c>
      <x:c r="V2" s="95" t="n">
        <x:v>0.0003882208331533487</x:v>
      </x:c>
      <x:c r="W2" s="95" t="n">
        <x:v>7.432144568344715e-12</x:v>
      </x:c>
      <x:c r="X2" s="95" t="n">
        <x:v>52235371.5785985</x:v>
      </x:c>
      <x:c r="Y2" s="99" t="n">
        <x:f>IFERROR(IF(ISBLANK(INDEX('Long_TCAD'!$H$2:$H$176,MATCH(B2,'Long_TCAD'!$A$2:$A$176,0))),"",INDEX('Long_TCAD'!$H$2:$H$176,MATCH(B2,'Long_TCAD'!$A$2:$A$176,0))),"")</x:f>
        <x:v>0.715</x:v>
      </x:c>
      <x:c r="Z2" s="100" t="n">
        <x:f>IFERROR(IF(ISBLANK(INDEX('Long_TCAD'!$I$2:$I$176,MATCH(B2,'Long_TCAD'!$A$2:$A$176,0))),"",INDEX('Long_TCAD'!$I$2:$I$176,MATCH(B2,'Long_TCAD'!$A$2:$A$176,0))),"")</x:f>
        <x:v>99.753</x:v>
      </x:c>
      <x:c r="AA2" s="96" t="n">
        <x:f>IFERROR(IF(ISBLANK(INDEX('Long_TCAD'!$J$2:$J$176,MATCH(B2,'Long_TCAD'!$A$2:$A$176,0))),"",INDEX('Long_TCAD'!$J$2:$J$176,MATCH(B2,'Long_TCAD'!$A$2:$A$176,0))),"")</x:f>
        <x:v>0.0004126</x:v>
      </x:c>
      <x:c r="AB2" s="96" t="n">
        <x:f>IFERROR(IF(ISBLANK(INDEX('Long_TCAD'!$K$2:$K$176,MATCH(B2,'Long_TCAD'!$A$2:$A$176,0))),"",INDEX('Long_TCAD'!$K$2:$K$176,MATCH(B2,'Long_TCAD'!$A$2:$A$176,0))),"")</x:f>
        <x:v>4.335e-11</x:v>
      </x:c>
      <x:c r="AC2" s="95" t="n">
        <x:f>IF(OR(NOT(ISNUMBER(AA2)),NOT(ISNUMBER(AB2))),"",AA2/AB2)</x:f>
        <x:v>9517877.739331027</x:v>
      </x:c>
      <x:c r="AD2" s="93" t="n">
        <x:f>IF(NOT(ISNUMBER(Y2)),"",ABS(Y2-T2)*1000)</x:f>
        <x:v>8.010000000001515</x:v>
      </x:c>
      <x:c r="AE2" s="93" t="n">
        <x:f>IF(NOT(ISNUMBER(Z2)),"",ABS(Z2-U2))</x:f>
        <x:v>4.229119608952644</x:v>
      </x:c>
      <x:c r="AF2" s="93" t="n">
        <x:f>IF(NOT(ISNUMBER(AA2)),"",ABS(LOG10(AA2)-LOG10(V2)))</x:f>
        <x:v>0.026450386348900068</x:v>
      </x:c>
      <x:c r="AG2" s="93" t="n">
        <x:f>IF(NOT(ISNUMBER(AB2)),"",ABS(LOG10(AB2)-LOG10(W2)))</x:f>
        <x:v>0.7658749529493996</x:v>
      </x:c>
      <x:c r="AH2" s="93" t="n">
        <x:f>IF(NOT(ISNUMBER(AC2)),"",ABS(LOG10(AC2)-LOG10(X2)))</x:f>
        <x:v>0.7394245666004995</x:v>
      </x:c>
      <x:c r="AI2" s="85" t="str">
        <x:f>IF(OR(NOT(ISNUMBER(Y2)),NOT(ISNUMBER(Z2)),NOT(ISNUMBER(AA2)),NOT(ISNUMBER(AB2))),"",IF(AND(Y2&gt;=0.3,Y2&lt;=1.2,Z2&lt;=200,AA2&gt;=1E-4,AB2&lt;=1E-6),"PASS","FAIL"))</x:f>
        <x:v>PASS</x:v>
      </x:c>
      <x:c r="AJ2" s="85" t="str"/>
    </x:row>
    <x:row r="3">
      <x:c r="A3" s="85" t="str">
        <x:v>L0180-02</x:v>
      </x:c>
      <x:c r="B3" s="85" t="str">
        <x:v>LR002</x:v>
      </x:c>
      <x:c r="C3" s="93" t="n">
        <x:v>0.18</x:v>
      </x:c>
      <x:c r="D3" s="93" t="str">
        <x:v>Practical</x:v>
      </x:c>
      <x:c r="E3" s="93" t="n">
        <x:v>1</x:v>
      </x:c>
      <x:c r="F3" s="94" t="n">
        <x:v>14435</x:v>
      </x:c>
      <x:c r="G3" s="93" t="n">
        <x:v>0.7139665705905067</x:v>
      </x:c>
      <x:c r="H3" s="93" t="n">
        <x:v>88.46909808881614</x:v>
      </x:c>
      <x:c r="I3" s="95" t="n">
        <x:v>0.00037453084357241264</x:v>
      </x:c>
      <x:c r="J3" s="95" t="n">
        <x:v>2.438613641577604e-13</x:v>
      </x:c>
      <x:c r="K3" s="95" t="n">
        <x:v>1535835103.95734</x:v>
      </x:c>
      <x:c r="L3" s="95" t="n">
        <x:v>5266350492917.962</x:v>
      </x:c>
      <x:c r="M3" s="95" t="n">
        <x:v>36.31290754709816</x:v>
      </x:c>
      <x:c r="N3" s="95" t="n">
        <x:v>206015015399111.12</x:v>
      </x:c>
      <x:c r="O3" s="95" t="n">
        <x:v>29.775107685294277</x:v>
      </x:c>
      <x:c r="P3" s="93"/>
      <x:c r="Q3" s="95"/>
      <x:c r="R3" s="95"/>
      <x:c r="S3" s="97" t="n">
        <x:v>1</x:v>
      </x:c>
      <x:c r="T3" s="93" t="n">
        <x:v>0.7160533333333313</x:v>
      </x:c>
      <x:c r="U3" s="98" t="n">
        <x:v>86.01115470518457</x:v>
      </x:c>
      <x:c r="V3" s="95" t="n">
        <x:v>0.00033468016411724406</x:v>
      </x:c>
      <x:c r="W3" s="95" t="n">
        <x:v>2.4238797743199787e-13</x:v>
      </x:c>
      <x:c r="X3" s="95" t="n">
        <x:v>1380762229.4762487</x:v>
      </x:c>
      <x:c r="Y3" s="99" t="n">
        <x:f>IFERROR(IF(ISBLANK(INDEX('Long_TCAD'!$H$2:$H$176,MATCH(B3,'Long_TCAD'!$A$2:$A$176,0))),"",INDEX('Long_TCAD'!$H$2:$H$176,MATCH(B3,'Long_TCAD'!$A$2:$A$176,0))),"")</x:f>
        <x:v>0.69</x:v>
      </x:c>
      <x:c r="Z3" s="100" t="n">
        <x:f>IFERROR(IF(ISBLANK(INDEX('Long_TCAD'!$I$2:$I$176,MATCH(B3,'Long_TCAD'!$A$2:$A$176,0))),"",INDEX('Long_TCAD'!$I$2:$I$176,MATCH(B3,'Long_TCAD'!$A$2:$A$176,0))),"")</x:f>
        <x:v>91.024</x:v>
      </x:c>
      <x:c r="AA3" s="96" t="n">
        <x:f>IFERROR(IF(ISBLANK(INDEX('Long_TCAD'!$J$2:$J$176,MATCH(B3,'Long_TCAD'!$A$2:$A$176,0))),"",INDEX('Long_TCAD'!$J$2:$J$176,MATCH(B3,'Long_TCAD'!$A$2:$A$176,0))),"")</x:f>
        <x:v>0.0003749</x:v>
      </x:c>
      <x:c r="AB3" s="96" t="n">
        <x:f>IFERROR(IF(ISBLANK(INDEX('Long_TCAD'!$K$2:$K$176,MATCH(B3,'Long_TCAD'!$A$2:$A$176,0))),"",INDEX('Long_TCAD'!$K$2:$K$176,MATCH(B3,'Long_TCAD'!$A$2:$A$176,0))),"")</x:f>
        <x:v>8.278e-12</x:v>
      </x:c>
      <x:c r="AC3" s="95" t="n">
        <x:f>IF(OR(NOT(ISNUMBER(AA3)),NOT(ISNUMBER(AB3))),"",AA3/AB3)</x:f>
        <x:v>45288717.08142063</x:v>
      </x:c>
      <x:c r="AD3" s="93" t="n">
        <x:f>IF(NOT(ISNUMBER(Y3)),"",ABS(Y3-T3)*1000)</x:f>
        <x:v>26.053333333331373</x:v>
      </x:c>
      <x:c r="AE3" s="93" t="n">
        <x:f>IF(NOT(ISNUMBER(Z3)),"",ABS(Z3-U3))</x:f>
        <x:v>5.012845294815435</x:v>
      </x:c>
      <x:c r="AF3" s="93" t="n">
        <x:f>IF(NOT(ISNUMBER(AA3)),"",ABS(LOG10(AA3)-LOG10(V3)))</x:f>
        <x:v>0.04928546714266968</x:v>
      </x:c>
      <x:c r="AG3" s="93" t="n">
        <x:f>IF(NOT(ISNUMBER(AB3)),"",ABS(LOG10(AB3)-LOG10(W3)))</x:f>
        <x:v>1.5334143472652997</x:v>
      </x:c>
      <x:c r="AH3" s="93" t="n">
        <x:f>IF(NOT(ISNUMBER(AC3)),"",ABS(LOG10(AC3)-LOG10(X3)))</x:f>
        <x:v>1.48412888012267</x:v>
      </x:c>
      <x:c r="AI3" s="85" t="str">
        <x:f>IF(OR(NOT(ISNUMBER(Y3)),NOT(ISNUMBER(Z3)),NOT(ISNUMBER(AA3)),NOT(ISNUMBER(AB3))),"",IF(AND(Y3&gt;=0.3,Y3&lt;=1.2,Z3&lt;=200,AA3&gt;=1E-4,AB3&lt;=1E-6),"PASS","FAIL"))</x:f>
        <x:v>PASS</x:v>
      </x:c>
      <x:c r="AJ3" s="85" t="str"/>
    </x:row>
    <x:row r="4">
      <x:c r="A4" s="85" t="str">
        <x:v>L0180-03</x:v>
      </x:c>
      <x:c r="B4" s="85" t="str">
        <x:v>LR003</x:v>
      </x:c>
      <x:c r="C4" s="93" t="n">
        <x:v>0.18</x:v>
      </x:c>
      <x:c r="D4" s="93" t="str">
        <x:v>Practical</x:v>
      </x:c>
      <x:c r="E4" s="93" t="n">
        <x:v>1</x:v>
      </x:c>
      <x:c r="F4" s="94" t="n">
        <x:v>14806</x:v>
      </x:c>
      <x:c r="G4" s="93" t="n">
        <x:v>0.7728703615288512</x:v>
      </x:c>
      <x:c r="H4" s="93" t="n">
        <x:v>90.28269006506072</x:v>
      </x:c>
      <x:c r="I4" s="95" t="n">
        <x:v>0.00030937866624462356</x:v>
      </x:c>
      <x:c r="J4" s="95" t="n">
        <x:v>4.4055936567266106e-13</x:v>
      </x:c>
      <x:c r="K4" s="95" t="n">
        <x:v>702240584.0181235</x:v>
      </x:c>
      <x:c r="L4" s="95" t="n">
        <x:v>50790735931202.195</x:v>
      </x:c>
      <x:c r="M4" s="95" t="n">
        <x:v>13.60186839085311</x:v>
      </x:c>
      <x:c r="N4" s="95" t="n">
        <x:v>121781485871139.64</x:v>
      </x:c>
      <x:c r="O4" s="95" t="n">
        <x:v>24.499894739621666</x:v>
      </x:c>
      <x:c r="P4" s="93"/>
      <x:c r="Q4" s="95"/>
      <x:c r="R4" s="95"/>
      <x:c r="S4" s="97" t="n">
        <x:v>1</x:v>
      </x:c>
      <x:c r="T4" s="93" t="n">
        <x:v>0.7543166666666673</x:v>
      </x:c>
      <x:c r="U4" s="98" t="n">
        <x:v>90.59696776066292</x:v>
      </x:c>
      <x:c r="V4" s="95" t="n">
        <x:v>0.0003559649204785938</x:v>
      </x:c>
      <x:c r="W4" s="95" t="n">
        <x:v>4.1126829497584784e-13</x:v>
      </x:c>
      <x:c r="X4" s="95" t="n">
        <x:v>865529691.5107405</x:v>
      </x:c>
      <x:c r="Y4" s="99" t="n">
        <x:f>IFERROR(IF(ISBLANK(INDEX('Long_TCAD'!$H$2:$H$176,MATCH(B4,'Long_TCAD'!$A$2:$A$176,0))),"",INDEX('Long_TCAD'!$H$2:$H$176,MATCH(B4,'Long_TCAD'!$A$2:$A$176,0))),"")</x:f>
        <x:v>0.747</x:v>
      </x:c>
      <x:c r="Z4" s="100" t="n">
        <x:f>IFERROR(IF(ISBLANK(INDEX('Long_TCAD'!$I$2:$I$176,MATCH(B4,'Long_TCAD'!$A$2:$A$176,0))),"",INDEX('Long_TCAD'!$I$2:$I$176,MATCH(B4,'Long_TCAD'!$A$2:$A$176,0))),"")</x:f>
        <x:v>92.913</x:v>
      </x:c>
      <x:c r="AA4" s="96" t="n">
        <x:f>IFERROR(IF(ISBLANK(INDEX('Long_TCAD'!$J$2:$J$176,MATCH(B4,'Long_TCAD'!$A$2:$A$176,0))),"",INDEX('Long_TCAD'!$J$2:$J$176,MATCH(B4,'Long_TCAD'!$A$2:$A$176,0))),"")</x:f>
        <x:v>0.000372</x:v>
      </x:c>
      <x:c r="AB4" s="96" t="n">
        <x:f>IFERROR(IF(ISBLANK(INDEX('Long_TCAD'!$K$2:$K$176,MATCH(B4,'Long_TCAD'!$A$2:$A$176,0))),"",INDEX('Long_TCAD'!$K$2:$K$176,MATCH(B4,'Long_TCAD'!$A$2:$A$176,0))),"")</x:f>
        <x:v>1.213e-12</x:v>
      </x:c>
      <x:c r="AC4" s="95" t="n">
        <x:f>IF(OR(NOT(ISNUMBER(AA4)),NOT(ISNUMBER(AB4))),"",AA4/AB4)</x:f>
        <x:v>306677658.6974443</x:v>
      </x:c>
      <x:c r="AD4" s="93" t="n">
        <x:f>IF(NOT(ISNUMBER(Y4)),"",ABS(Y4-T4)*1000)</x:f>
        <x:v>7.316666666667304</x:v>
      </x:c>
      <x:c r="AE4" s="93" t="n">
        <x:f>IF(NOT(ISNUMBER(Z4)),"",ABS(Z4-U4))</x:f>
        <x:v>2.3160322393370762</x:v>
      </x:c>
      <x:c r="AF4" s="93" t="n">
        <x:f>IF(NOT(ISNUMBER(AA4)),"",ABS(LOG10(AA4)-LOG10(V4)))</x:f>
        <x:v>0.019135738519219903</x:v>
      </x:c>
      <x:c r="AG4" s="93" t="n">
        <x:f>IF(NOT(ISNUMBER(AB4)),"",ABS(LOG10(AB4)-LOG10(W4)))</x:f>
        <x:v>0.46973557019959955</x:v>
      </x:c>
      <x:c r="AH4" s="93" t="n">
        <x:f>IF(NOT(ISNUMBER(AC4)),"",ABS(LOG10(AC4)-LOG10(X4)))</x:f>
        <x:v>0.4505998316803197</x:v>
      </x:c>
      <x:c r="AI4" s="85" t="str">
        <x:f>IF(OR(NOT(ISNUMBER(Y4)),NOT(ISNUMBER(Z4)),NOT(ISNUMBER(AA4)),NOT(ISNUMBER(AB4))),"",IF(AND(Y4&gt;=0.3,Y4&lt;=1.2,Z4&lt;=200,AA4&gt;=1E-4,AB4&lt;=1E-6),"PASS","FAIL"))</x:f>
        <x:v>PASS</x:v>
      </x:c>
      <x:c r="AJ4" s="85" t="str"/>
    </x:row>
    <x:row r="5">
      <x:c r="A5" s="85" t="str">
        <x:v>L0180-04</x:v>
      </x:c>
      <x:c r="B5" s="85" t="str">
        <x:v>LR004</x:v>
      </x:c>
      <x:c r="C5" s="93" t="n">
        <x:v>0.18</x:v>
      </x:c>
      <x:c r="D5" s="93" t="str">
        <x:v>Practical</x:v>
      </x:c>
      <x:c r="E5" s="93" t="n">
        <x:v>1</x:v>
      </x:c>
      <x:c r="F5" s="94" t="n">
        <x:v>16066</x:v>
      </x:c>
      <x:c r="G5" s="93" t="n">
        <x:v>0.730021583797312</x:v>
      </x:c>
      <x:c r="H5" s="93" t="n">
        <x:v>93.88465058044173</x:v>
      </x:c>
      <x:c r="I5" s="95" t="n">
        <x:v>0.0003890054704395576</x:v>
      </x:c>
      <x:c r="J5" s="95" t="n">
        <x:v>7.716606083075129e-13</x:v>
      </x:c>
      <x:c r="K5" s="95" t="n">
        <x:v>504114718.6361699</x:v>
      </x:c>
      <x:c r="L5" s="95" t="n">
        <x:v>13275103692587.793</x:v>
      </x:c>
      <x:c r="M5" s="95" t="n">
        <x:v>18.535507319056123</x:v>
      </x:c>
      <x:c r="N5" s="95" t="n">
        <x:v>195096919388454.22</x:v>
      </x:c>
      <x:c r="O5" s="95" t="n">
        <x:v>15.308597949319287</x:v>
      </x:c>
      <x:c r="P5" s="93"/>
      <x:c r="Q5" s="95"/>
      <x:c r="R5" s="95"/>
      <x:c r="S5" s="97" t="n">
        <x:v>0.9966666666666667</x:v>
      </x:c>
      <x:c r="T5" s="93" t="n">
        <x:v>0.727073333333337</x:v>
      </x:c>
      <x:c r="U5" s="98" t="n">
        <x:v>91.21254956579827</x:v>
      </x:c>
      <x:c r="V5" s="95" t="n">
        <x:v>0.00036015632482400264</x:v>
      </x:c>
      <x:c r="W5" s="95" t="n">
        <x:v>7.626634181333126e-13</x:v>
      </x:c>
      <x:c r="X5" s="95" t="n">
        <x:v>472234954.84484845</x:v>
      </x:c>
      <x:c r="Y5" s="99" t="n">
        <x:f>IFERROR(IF(ISBLANK(INDEX('Long_TCAD'!$H$2:$H$176,MATCH(B5,'Long_TCAD'!$A$2:$A$176,0))),"",INDEX('Long_TCAD'!$H$2:$H$176,MATCH(B5,'Long_TCAD'!$A$2:$A$176,0))),"")</x:f>
        <x:v>0.729</x:v>
      </x:c>
      <x:c r="Z5" s="100" t="n">
        <x:f>IFERROR(IF(ISBLANK(INDEX('Long_TCAD'!$I$2:$I$176,MATCH(B5,'Long_TCAD'!$A$2:$A$176,0))),"",INDEX('Long_TCAD'!$I$2:$I$176,MATCH(B5,'Long_TCAD'!$A$2:$A$176,0))),"")</x:f>
        <x:v>92.357</x:v>
      </x:c>
      <x:c r="AA5" s="96" t="n">
        <x:f>IFERROR(IF(ISBLANK(INDEX('Long_TCAD'!$J$2:$J$176,MATCH(B5,'Long_TCAD'!$A$2:$A$176,0))),"",INDEX('Long_TCAD'!$J$2:$J$176,MATCH(B5,'Long_TCAD'!$A$2:$A$176,0))),"")</x:f>
        <x:v>0.0003708</x:v>
      </x:c>
      <x:c r="AB5" s="96" t="n">
        <x:f>IFERROR(IF(ISBLANK(INDEX('Long_TCAD'!$K$2:$K$176,MATCH(B5,'Long_TCAD'!$A$2:$A$176,0))),"",INDEX('Long_TCAD'!$K$2:$K$176,MATCH(B5,'Long_TCAD'!$A$2:$A$176,0))),"")</x:f>
        <x:v>1.399e-12</x:v>
      </x:c>
      <x:c r="AC5" s="95" t="n">
        <x:f>IF(OR(NOT(ISNUMBER(AA5)),NOT(ISNUMBER(AB5))),"",AA5/AB5)</x:f>
        <x:v>265046461.75839886</x:v>
      </x:c>
      <x:c r="AD5" s="93" t="n">
        <x:f>IF(NOT(ISNUMBER(Y5)),"",ABS(Y5-T5)*1000)</x:f>
        <x:v>1.9266666666629684</x:v>
      </x:c>
      <x:c r="AE5" s="93" t="n">
        <x:f>IF(NOT(ISNUMBER(Z5)),"",ABS(Z5-U5))</x:f>
        <x:v>1.1444504342017296</x:v>
      </x:c>
      <x:c r="AF5" s="93" t="n">
        <x:f>IF(NOT(ISNUMBER(AA5)),"",ABS(LOG10(AA5)-LOG10(V5)))</x:f>
        <x:v>0.012648679504150273</x:v>
      </x:c>
      <x:c r="AG5" s="93" t="n">
        <x:f>IF(NOT(ISNUMBER(AB5)),"",ABS(LOG10(AB5)-LOG10(W5)))</x:f>
        <x:v>0.2634847989459992</x:v>
      </x:c>
      <x:c r="AH5" s="93" t="n">
        <x:f>IF(NOT(ISNUMBER(AC5)),"",ABS(LOG10(AC5)-LOG10(X5)))</x:f>
        <x:v>0.25083611944183914</x:v>
      </x:c>
      <x:c r="AI5" s="85" t="str">
        <x:f>IF(OR(NOT(ISNUMBER(Y5)),NOT(ISNUMBER(Z5)),NOT(ISNUMBER(AA5)),NOT(ISNUMBER(AB5))),"",IF(AND(Y5&gt;=0.3,Y5&lt;=1.2,Z5&lt;=200,AA5&gt;=1E-4,AB5&lt;=1E-6),"PASS","FAIL"))</x:f>
        <x:v>PASS</x:v>
      </x:c>
      <x:c r="AJ5" s="85" t="str"/>
    </x:row>
    <x:row r="6">
      <x:c r="A6" s="85" t="str">
        <x:v>L0180-05</x:v>
      </x:c>
      <x:c r="B6" s="85" t="str">
        <x:v>LR005</x:v>
      </x:c>
      <x:c r="C6" s="93" t="n">
        <x:v>0.18</x:v>
      </x:c>
      <x:c r="D6" s="93" t="str">
        <x:v>Practical</x:v>
      </x:c>
      <x:c r="E6" s="93" t="n">
        <x:v>1</x:v>
      </x:c>
      <x:c r="F6" s="94" t="n">
        <x:v>30853</x:v>
      </x:c>
      <x:c r="G6" s="93" t="n">
        <x:v>0.6874130352324512</x:v>
      </x:c>
      <x:c r="H6" s="93" t="n">
        <x:v>84.963</x:v>
      </x:c>
      <x:c r="I6" s="95" t="n">
        <x:v>0.0003889476019065384</x:v>
      </x:c>
      <x:c r="J6" s="95" t="n">
        <x:v>2.2403091601182357e-12</x:v>
      </x:c>
      <x:c r="K6" s="95" t="n">
        <x:v>173613360.52654943</x:v>
      </x:c>
      <x:c r="L6" s="95" t="n">
        <x:v>4890596990826.19</x:v>
      </x:c>
      <x:c r="M6" s="95" t="n">
        <x:v>53.1585513160589</x:v>
      </x:c>
      <x:c r="N6" s="95" t="n">
        <x:v>138108399549874.03</x:v>
      </x:c>
      <x:c r="O6" s="95" t="n">
        <x:v>39.62116561753595</x:v>
      </x:c>
      <x:c r="P6" s="93"/>
      <x:c r="Q6" s="95"/>
      <x:c r="R6" s="95"/>
      <x:c r="S6" s="97" t="n">
        <x:v>0.9866666666666667</x:v>
      </x:c>
      <x:c r="T6" s="93" t="n">
        <x:v>0.6880000000000026</x:v>
      </x:c>
      <x:c r="U6" s="98" t="n">
        <x:v>87.23651225375156</x:v>
      </x:c>
      <x:c r="V6" s="95" t="n">
        <x:v>0.0003447080220666997</x:v>
      </x:c>
      <x:c r="W6" s="95" t="n">
        <x:v>2.0646095342279988e-12</x:v>
      </x:c>
      <x:c r="X6" s="95" t="n">
        <x:v>166960394.37577882</x:v>
      </x:c>
      <x:c r="Y6" s="99" t="n">
        <x:f>IFERROR(IF(ISBLANK(INDEX('Long_TCAD'!$H$2:$H$176,MATCH(B6,'Long_TCAD'!$A$2:$A$176,0))),"",INDEX('Long_TCAD'!$H$2:$H$176,MATCH(B6,'Long_TCAD'!$A$2:$A$176,0))),"")</x:f>
        <x:v>0.645</x:v>
      </x:c>
      <x:c r="Z6" s="100" t="n">
        <x:f>IFERROR(IF(ISBLANK(INDEX('Long_TCAD'!$I$2:$I$176,MATCH(B6,'Long_TCAD'!$A$2:$A$176,0))),"",INDEX('Long_TCAD'!$I$2:$I$176,MATCH(B6,'Long_TCAD'!$A$2:$A$176,0))),"")</x:f>
        <x:v>92.353</x:v>
      </x:c>
      <x:c r="AA6" s="96" t="n">
        <x:f>IFERROR(IF(ISBLANK(INDEX('Long_TCAD'!$J$2:$J$176,MATCH(B6,'Long_TCAD'!$A$2:$A$176,0))),"",INDEX('Long_TCAD'!$J$2:$J$176,MATCH(B6,'Long_TCAD'!$A$2:$A$176,0))),"")</x:f>
        <x:v>0.0003762</x:v>
      </x:c>
      <x:c r="AB6" s="96" t="n">
        <x:f>IFERROR(IF(ISBLANK(INDEX('Long_TCAD'!$K$2:$K$176,MATCH(B6,'Long_TCAD'!$A$2:$A$176,0))),"",INDEX('Long_TCAD'!$K$2:$K$176,MATCH(B6,'Long_TCAD'!$A$2:$A$176,0))),"")</x:f>
        <x:v>5.999e-11</x:v>
      </x:c>
      <x:c r="AC6" s="95" t="n">
        <x:f>IF(OR(NOT(ISNUMBER(AA6)),NOT(ISNUMBER(AB6))),"",AA6/AB6)</x:f>
        <x:v>6271045.174195698</x:v>
      </x:c>
      <x:c r="AD6" s="93" t="n">
        <x:f>IF(NOT(ISNUMBER(Y6)),"",ABS(Y6-T6)*1000)</x:f>
        <x:v>43.00000000000259</x:v>
      </x:c>
      <x:c r="AE6" s="93" t="n">
        <x:f>IF(NOT(ISNUMBER(Z6)),"",ABS(Z6-U6))</x:f>
        <x:v>5.116487746248438</x:v>
      </x:c>
      <x:c r="AF6" s="93" t="n">
        <x:f>IF(NOT(ISNUMBER(AA6)),"",ABS(LOG10(AA6)-LOG10(V6)))</x:f>
        <x:v>0.03796740076039962</x:v>
      </x:c>
      <x:c r="AG6" s="93" t="n">
        <x:f>IF(NOT(ISNUMBER(AB6)),"",ABS(LOG10(AB6)-LOG10(W6)))</x:f>
        <x:v>1.4632409333856007</x:v>
      </x:c>
      <x:c r="AH6" s="93" t="n">
        <x:f>IF(NOT(ISNUMBER(AC6)),"",ABS(LOG10(AC6)-LOG10(X6)))</x:f>
        <x:v>1.4252735326251393</x:v>
      </x:c>
      <x:c r="AI6" s="85" t="str">
        <x:f>IF(OR(NOT(ISNUMBER(Y6)),NOT(ISNUMBER(Z6)),NOT(ISNUMBER(AA6)),NOT(ISNUMBER(AB6))),"",IF(AND(Y6&gt;=0.3,Y6&lt;=1.2,Z6&lt;=200,AA6&gt;=1E-4,AB6&lt;=1E-6),"PASS","FAIL"))</x:f>
        <x:v>PASS</x:v>
      </x:c>
      <x:c r="AJ6" s="85" t="str"/>
    </x:row>
    <x:row r="7">
      <x:c r="A7" s="85" t="str">
        <x:v>L0180-06</x:v>
      </x:c>
      <x:c r="B7" s="85" t="str">
        <x:v>LR006</x:v>
      </x:c>
      <x:c r="C7" s="93" t="n">
        <x:v>0.18</x:v>
      </x:c>
      <x:c r="D7" s="93" t="str">
        <x:v>Practical</x:v>
      </x:c>
      <x:c r="E7" s="93" t="n">
        <x:v>1</x:v>
      </x:c>
      <x:c r="F7" s="94" t="n">
        <x:v>19612</x:v>
      </x:c>
      <x:c r="G7" s="93" t="n">
        <x:v>0.6905433317159488</x:v>
      </x:c>
      <x:c r="H7" s="93" t="n">
        <x:v>91.11456511182651</x:v>
      </x:c>
      <x:c r="I7" s="95" t="n">
        <x:v>0.0003818181386560017</x:v>
      </x:c>
      <x:c r="J7" s="95" t="n">
        <x:v>9.782504584445338e-12</x:v>
      </x:c>
      <x:c r="K7" s="95" t="n">
        <x:v>39030714.0017201</x:v>
      </x:c>
      <x:c r="L7" s="95" t="n">
        <x:v>27078608503212.88</x:v>
      </x:c>
      <x:c r="M7" s="95" t="n">
        <x:v>39.72951178655809</x:v>
      </x:c>
      <x:c r="N7" s="95" t="n">
        <x:v>163712192127414.56</x:v>
      </x:c>
      <x:c r="O7" s="95" t="n">
        <x:v>25.981324840086277</x:v>
      </x:c>
      <x:c r="P7" s="93"/>
      <x:c r="Q7" s="95"/>
      <x:c r="R7" s="95"/>
      <x:c r="S7" s="97" t="n">
        <x:v>0.9933333333333333</x:v>
      </x:c>
      <x:c r="T7" s="93" t="n">
        <x:v>0.691123333333334</x:v>
      </x:c>
      <x:c r="U7" s="98" t="n">
        <x:v>92.99407304796961</x:v>
      </x:c>
      <x:c r="V7" s="95" t="n">
        <x:v>0.0003728341889508877</x:v>
      </x:c>
      <x:c r="W7" s="95" t="n">
        <x:v>9.86742991886052e-12</x:v>
      </x:c>
      <x:c r="X7" s="95" t="n">
        <x:v>37784326.011604674</x:v>
      </x:c>
      <x:c r="Y7" s="99" t="n">
        <x:f>IFERROR(IF(ISBLANK(INDEX('Long_TCAD'!$H$2:$H$176,MATCH(B7,'Long_TCAD'!$A$2:$A$176,0))),"",INDEX('Long_TCAD'!$H$2:$H$176,MATCH(B7,'Long_TCAD'!$A$2:$A$176,0))),"")</x:f>
        <x:v>0.68</x:v>
      </x:c>
      <x:c r="Z7" s="100" t="n">
        <x:f>IFERROR(IF(ISBLANK(INDEX('Long_TCAD'!$I$2:$I$176,MATCH(B7,'Long_TCAD'!$A$2:$A$176,0))),"",INDEX('Long_TCAD'!$I$2:$I$176,MATCH(B7,'Long_TCAD'!$A$2:$A$176,0))),"")</x:f>
        <x:v>95.494</x:v>
      </x:c>
      <x:c r="AA7" s="96" t="n">
        <x:f>IFERROR(IF(ISBLANK(INDEX('Long_TCAD'!$J$2:$J$176,MATCH(B7,'Long_TCAD'!$A$2:$A$176,0))),"",INDEX('Long_TCAD'!$J$2:$J$176,MATCH(B7,'Long_TCAD'!$A$2:$A$176,0))),"")</x:f>
        <x:v>0.00039</x:v>
      </x:c>
      <x:c r="AB7" s="96" t="n">
        <x:f>IFERROR(IF(ISBLANK(INDEX('Long_TCAD'!$K$2:$K$176,MATCH(B7,'Long_TCAD'!$A$2:$A$176,0))),"",INDEX('Long_TCAD'!$K$2:$K$176,MATCH(B7,'Long_TCAD'!$A$2:$A$176,0))),"")</x:f>
        <x:v>4.568e-11</x:v>
      </x:c>
      <x:c r="AC7" s="95" t="n">
        <x:f>IF(OR(NOT(ISNUMBER(AA7)),NOT(ISNUMBER(AB7))),"",AA7/AB7)</x:f>
        <x:v>8537653.239929948</x:v>
      </x:c>
      <x:c r="AD7" s="93" t="n">
        <x:f>IF(NOT(ISNUMBER(Y7)),"",ABS(Y7-T7)*1000)</x:f>
        <x:v>11.123333333333928</x:v>
      </x:c>
      <x:c r="AE7" s="93" t="n">
        <x:f>IF(NOT(ISNUMBER(Z7)),"",ABS(Z7-U7))</x:f>
        <x:v>2.4999269520303926</x:v>
      </x:c>
      <x:c r="AF7" s="93" t="n">
        <x:f>IF(NOT(ISNUMBER(AA7)),"",ABS(LOG10(AA7)-LOG10(V7)))</x:f>
        <x:v>0.0195488766495302</x:v>
      </x:c>
      <x:c r="AG7" s="93" t="n">
        <x:f>IF(NOT(ISNUMBER(AB7)),"",ABS(LOG10(AB7)-LOG10(W7)))</x:f>
        <x:v>0.6655220446354004</x:v>
      </x:c>
      <x:c r="AH7" s="93" t="n">
        <x:f>IF(NOT(ISNUMBER(AC7)),"",ABS(LOG10(AC7)-LOG10(X7)))</x:f>
        <x:v>0.6459731679858995</x:v>
      </x:c>
      <x:c r="AI7" s="85" t="str">
        <x:f>IF(OR(NOT(ISNUMBER(Y7)),NOT(ISNUMBER(Z7)),NOT(ISNUMBER(AA7)),NOT(ISNUMBER(AB7))),"",IF(AND(Y7&gt;=0.3,Y7&lt;=1.2,Z7&lt;=200,AA7&gt;=1E-4,AB7&lt;=1E-6),"PASS","FAIL"))</x:f>
        <x:v>PASS</x:v>
      </x:c>
      <x:c r="AJ7" s="85" t="str"/>
    </x:row>
    <x:row r="8">
      <x:c r="A8" s="85" t="str">
        <x:v>L0180-07</x:v>
      </x:c>
      <x:c r="B8" s="85" t="str">
        <x:v>LR007</x:v>
      </x:c>
      <x:c r="C8" s="93" t="n">
        <x:v>0.18</x:v>
      </x:c>
      <x:c r="D8" s="93" t="str">
        <x:v>Practical</x:v>
      </x:c>
      <x:c r="E8" s="93" t="n">
        <x:v>1</x:v>
      </x:c>
      <x:c r="F8" s="94" t="n">
        <x:v>29936</x:v>
      </x:c>
      <x:c r="G8" s="93" t="n">
        <x:v>0.7502714249627239</x:v>
      </x:c>
      <x:c r="H8" s="93" t="n">
        <x:v>90.62512576265314</x:v>
      </x:c>
      <x:c r="I8" s="95" t="n">
        <x:v>0.000406</x:v>
      </x:c>
      <x:c r="J8" s="95" t="n">
        <x:v>2.2152903720833585e-12</x:v>
      </x:c>
      <x:c r="K8" s="95" t="n">
        <x:v>183271685.3358503</x:v>
      </x:c>
      <x:c r="L8" s="95" t="n">
        <x:v>5135632859159.851</x:v>
      </x:c>
      <x:c r="M8" s="95" t="n">
        <x:v>64.15617503765723</x:v>
      </x:c>
      <x:c r="N8" s="95" t="n">
        <x:v>2336394436341189</x:v>
      </x:c>
      <x:c r="O8" s="95" t="n">
        <x:v>15.69093869432829</x:v>
      </x:c>
      <x:c r="P8" s="93"/>
      <x:c r="Q8" s="95"/>
      <x:c r="R8" s="95"/>
      <x:c r="S8" s="97" t="n">
        <x:v>1</x:v>
      </x:c>
      <x:c r="T8" s="93" t="n">
        <x:v>0.7247533333333369</x:v>
      </x:c>
      <x:c r="U8" s="98" t="n">
        <x:v>90.60963964605489</x:v>
      </x:c>
      <x:c r="V8" s="95" t="n">
        <x:v>0.000377756201111693</x:v>
      </x:c>
      <x:c r="W8" s="95" t="n">
        <x:v>2.088824021126585e-12</x:v>
      </x:c>
      <x:c r="X8" s="95" t="n">
        <x:v>180846350.5259549</x:v>
      </x:c>
      <x:c r="Y8" s="99" t="n">
        <x:f>IFERROR(IF(ISBLANK(INDEX('Long_TCAD'!$H$2:$H$176,MATCH(B8,'Long_TCAD'!$A$2:$A$176,0))),"",INDEX('Long_TCAD'!$H$2:$H$176,MATCH(B8,'Long_TCAD'!$A$2:$A$176,0))),"")</x:f>
        <x:v>0.683</x:v>
      </x:c>
      <x:c r="Z8" s="100" t="n">
        <x:f>IFERROR(IF(ISBLANK(INDEX('Long_TCAD'!$I$2:$I$176,MATCH(B8,'Long_TCAD'!$A$2:$A$176,0))),"",INDEX('Long_TCAD'!$I$2:$I$176,MATCH(B8,'Long_TCAD'!$A$2:$A$176,0))),"")</x:f>
        <x:v>94.064</x:v>
      </x:c>
      <x:c r="AA8" s="96" t="n">
        <x:f>IFERROR(IF(ISBLANK(INDEX('Long_TCAD'!$J$2:$J$176,MATCH(B8,'Long_TCAD'!$A$2:$A$176,0))),"",INDEX('Long_TCAD'!$J$2:$J$176,MATCH(B8,'Long_TCAD'!$A$2:$A$176,0))),"")</x:f>
        <x:v>0.0004004</x:v>
      </x:c>
      <x:c r="AB8" s="96" t="n">
        <x:f>IFERROR(IF(ISBLANK(INDEX('Long_TCAD'!$K$2:$K$176,MATCH(B8,'Long_TCAD'!$A$2:$A$176,0))),"",INDEX('Long_TCAD'!$K$2:$K$176,MATCH(B8,'Long_TCAD'!$A$2:$A$176,0))),"")</x:f>
        <x:v>2.866e-11</x:v>
      </x:c>
      <x:c r="AC8" s="95" t="n">
        <x:f>IF(OR(NOT(ISNUMBER(AA8)),NOT(ISNUMBER(AB8))),"",AA8/AB8)</x:f>
        <x:v>13970690.858339148</x:v>
      </x:c>
      <x:c r="AD8" s="93" t="n">
        <x:f>IF(NOT(ISNUMBER(Y8)),"",ABS(Y8-T8)*1000)</x:f>
        <x:v>41.75333333333686</x:v>
      </x:c>
      <x:c r="AE8" s="93" t="n">
        <x:f>IF(NOT(ISNUMBER(Z8)),"",ABS(Z8-U8))</x:f>
        <x:v>3.4543603539451055</x:v>
      </x:c>
      <x:c r="AF8" s="93" t="n">
        <x:f>IF(NOT(ISNUMBER(AA8)),"",ABS(LOG10(AA8)-LOG10(V8)))</x:f>
        <x:v>0.02528246651365995</x:v>
      </x:c>
      <x:c r="AG8" s="93" t="n">
        <x:f>IF(NOT(ISNUMBER(AB8)),"",ABS(LOG10(AB8)-LOG10(W8)))</x:f>
        <x:v>1.1373743329038</x:v>
      </x:c>
      <x:c r="AH8" s="93" t="n">
        <x:f>IF(NOT(ISNUMBER(AC8)),"",ABS(LOG10(AC8)-LOG10(X8)))</x:f>
        <x:v>1.1120918663902195</x:v>
      </x:c>
      <x:c r="AI8" s="85" t="str">
        <x:f>IF(OR(NOT(ISNUMBER(Y8)),NOT(ISNUMBER(Z8)),NOT(ISNUMBER(AA8)),NOT(ISNUMBER(AB8))),"",IF(AND(Y8&gt;=0.3,Y8&lt;=1.2,Z8&lt;=200,AA8&gt;=1E-4,AB8&lt;=1E-6),"PASS","FAIL"))</x:f>
        <x:v>PASS</x:v>
      </x:c>
      <x:c r="AJ8" s="85" t="str"/>
    </x:row>
    <x:row r="9">
      <x:c r="A9" s="85" t="str">
        <x:v>L0180-08</x:v>
      </x:c>
      <x:c r="B9" s="85" t="str">
        <x:v>LR008</x:v>
      </x:c>
      <x:c r="C9" s="93" t="n">
        <x:v>0.18</x:v>
      </x:c>
      <x:c r="D9" s="93" t="str">
        <x:v>Practical</x:v>
      </x:c>
      <x:c r="E9" s="93" t="n">
        <x:v>1</x:v>
      </x:c>
      <x:c r="F9" s="94" t="n">
        <x:v>13731</x:v>
      </x:c>
      <x:c r="G9" s="93" t="n">
        <x:v>0.7626573629906692</x:v>
      </x:c>
      <x:c r="H9" s="93" t="n">
        <x:v>88.26568208390546</x:v>
      </x:c>
      <x:c r="I9" s="95" t="n">
        <x:v>0.0003418857950333771</x:v>
      </x:c>
      <x:c r="J9" s="95" t="n">
        <x:v>1.6313846374152252e-13</x:v>
      </x:c>
      <x:c r="K9" s="95" t="n">
        <x:v>2095678647.403857</x:v>
      </x:c>
      <x:c r="L9" s="95" t="n">
        <x:v>51408595674970.16</x:v>
      </x:c>
      <x:c r="M9" s="95" t="n">
        <x:v>11.666454782082596</x:v>
      </x:c>
      <x:c r="N9" s="95" t="n">
        <x:v>338984115571283.56</x:v>
      </x:c>
      <x:c r="O9" s="95" t="n">
        <x:v>12.972078975373044</x:v>
      </x:c>
      <x:c r="P9" s="93"/>
      <x:c r="Q9" s="95"/>
      <x:c r="R9" s="95"/>
      <x:c r="S9" s="97" t="n">
        <x:v>1</x:v>
      </x:c>
      <x:c r="T9" s="93" t="n">
        <x:v>0.7647766666666692</x:v>
      </x:c>
      <x:c r="U9" s="98" t="n">
        <x:v>90.49962709393928</x:v>
      </x:c>
      <x:c r="V9" s="95" t="n">
        <x:v>0.0003477953814118628</x:v>
      </x:c>
      <x:c r="W9" s="95" t="n">
        <x:v>1.8081508141580528e-13</x:v>
      </x:c>
      <x:c r="X9" s="95" t="n">
        <x:v>1923486573.6230648</x:v>
      </x:c>
      <x:c r="Y9" s="99" t="n">
        <x:f>IFERROR(IF(ISBLANK(INDEX('Long_TCAD'!$H$2:$H$176,MATCH(B9,'Long_TCAD'!$A$2:$A$176,0))),"",INDEX('Long_TCAD'!$H$2:$H$176,MATCH(B9,'Long_TCAD'!$A$2:$A$176,0))),"")</x:f>
        <x:v>0.76</x:v>
      </x:c>
      <x:c r="Z9" s="100" t="n">
        <x:f>IFERROR(IF(ISBLANK(INDEX('Long_TCAD'!$I$2:$I$176,MATCH(B9,'Long_TCAD'!$A$2:$A$176,0))),"",INDEX('Long_TCAD'!$I$2:$I$176,MATCH(B9,'Long_TCAD'!$A$2:$A$176,0))),"")</x:f>
        <x:v>92.276</x:v>
      </x:c>
      <x:c r="AA9" s="96" t="n">
        <x:f>IFERROR(IF(ISBLANK(INDEX('Long_TCAD'!$J$2:$J$176,MATCH(B9,'Long_TCAD'!$A$2:$A$176,0))),"",INDEX('Long_TCAD'!$J$2:$J$176,MATCH(B9,'Long_TCAD'!$A$2:$A$176,0))),"")</x:f>
        <x:v>0.0003728</x:v>
      </x:c>
      <x:c r="AB9" s="96" t="n">
        <x:f>IFERROR(IF(ISBLANK(INDEX('Long_TCAD'!$K$2:$K$176,MATCH(B9,'Long_TCAD'!$A$2:$A$176,0))),"",INDEX('Long_TCAD'!$K$2:$K$176,MATCH(B9,'Long_TCAD'!$A$2:$A$176,0))),"")</x:f>
        <x:v>7.709e-13</x:v>
      </x:c>
      <x:c r="AC9" s="95" t="n">
        <x:f>IF(OR(NOT(ISNUMBER(AA9)),NOT(ISNUMBER(AB9))),"",AA9/AB9)</x:f>
        <x:v>483590608.3798158</x:v>
      </x:c>
      <x:c r="AD9" s="93" t="n">
        <x:f>IF(NOT(ISNUMBER(Y9)),"",ABS(Y9-T9)*1000)</x:f>
        <x:v>4.776666666669205</x:v>
      </x:c>
      <x:c r="AE9" s="93" t="n">
        <x:f>IF(NOT(ISNUMBER(Z9)),"",ABS(Z9-U9))</x:f>
        <x:v>1.7763729060607147</x:v>
      </x:c>
      <x:c r="AF9" s="93" t="n">
        <x:f>IF(NOT(ISNUMBER(AA9)),"",ABS(LOG10(AA9)-LOG10(V9)))</x:f>
        <x:v>0.030152093239689925</x:v>
      </x:c>
      <x:c r="AG9" s="93" t="n">
        <x:f>IF(NOT(ISNUMBER(AB9)),"",ABS(LOG10(AB9)-LOG10(W9)))</x:f>
        <x:v>0.6297633944073002</x:v>
      </x:c>
      <x:c r="AH9" s="93" t="n">
        <x:f>IF(NOT(ISNUMBER(AC9)),"",ABS(LOG10(AC9)-LOG10(X9)))</x:f>
        <x:v>0.5996113011675988</x:v>
      </x:c>
      <x:c r="AI9" s="85" t="str">
        <x:f>IF(OR(NOT(ISNUMBER(Y9)),NOT(ISNUMBER(Z9)),NOT(ISNUMBER(AA9)),NOT(ISNUMBER(AB9))),"",IF(AND(Y9&gt;=0.3,Y9&lt;=1.2,Z9&lt;=200,AA9&gt;=1E-4,AB9&lt;=1E-6),"PASS","FAIL"))</x:f>
        <x:v>PASS</x:v>
      </x:c>
      <x:c r="AJ9" s="85" t="str"/>
    </x:row>
    <x:row r="10">
      <x:c r="A10" s="85" t="str">
        <x:v>L0180-09</x:v>
      </x:c>
      <x:c r="B10" s="85" t="str">
        <x:v>LR009</x:v>
      </x:c>
      <x:c r="C10" s="93" t="n">
        <x:v>0.18</x:v>
      </x:c>
      <x:c r="D10" s="93" t="str">
        <x:v>Practical</x:v>
      </x:c>
      <x:c r="E10" s="93" t="n">
        <x:v>1</x:v>
      </x:c>
      <x:c r="F10" s="94" t="n">
        <x:v>24454</x:v>
      </x:c>
      <x:c r="G10" s="93" t="n">
        <x:v>0.714863523197607</x:v>
      </x:c>
      <x:c r="H10" s="93" t="n">
        <x:v>97.62243921758119</x:v>
      </x:c>
      <x:c r="I10" s="95" t="n">
        <x:v>0.00040133157651330785</x:v>
      </x:c>
      <x:c r="J10" s="95" t="n">
        <x:v>4.2624145117785135e-12</x:v>
      </x:c>
      <x:c r="K10" s="95" t="n">
        <x:v>94155923.92628427</x:v>
      </x:c>
      <x:c r="L10" s="95" t="n">
        <x:v>51245214742176.66</x:v>
      </x:c>
      <x:c r="M10" s="95" t="n">
        <x:v>15.537033130376072</x:v>
      </x:c>
      <x:c r="N10" s="95" t="n">
        <x:v>1764937948566377.2</x:v>
      </x:c>
      <x:c r="O10" s="95" t="n">
        <x:v>14.025235956809691</x:v>
      </x:c>
      <x:c r="P10" s="93"/>
      <x:c r="Q10" s="95"/>
      <x:c r="R10" s="95"/>
      <x:c r="S10" s="97" t="n">
        <x:v>0.9966666666666667</x:v>
      </x:c>
      <x:c r="T10" s="93" t="n">
        <x:v>0.7217366666666659</x:v>
      </x:c>
      <x:c r="U10" s="98" t="n">
        <x:v>92.93732395088743</x:v>
      </x:c>
      <x:c r="V10" s="95" t="n">
        <x:v>0.0003868730191100952</x:v>
      </x:c>
      <x:c r="W10" s="95" t="n">
        <x:v>4.320172023804179e-12</x:v>
      </x:c>
      <x:c r="X10" s="95" t="n">
        <x:v>89550373.68383066</x:v>
      </x:c>
      <x:c r="Y10" s="99" t="n">
        <x:f>IFERROR(IF(ISBLANK(INDEX('Long_TCAD'!$H$2:$H$176,MATCH(B10,'Long_TCAD'!$A$2:$A$176,0))),"",INDEX('Long_TCAD'!$H$2:$H$176,MATCH(B10,'Long_TCAD'!$A$2:$A$176,0))),"")</x:f>
        <x:v>0.722</x:v>
      </x:c>
      <x:c r="Z10" s="100" t="n">
        <x:f>IFERROR(IF(ISBLANK(INDEX('Long_TCAD'!$I$2:$I$176,MATCH(B10,'Long_TCAD'!$A$2:$A$176,0))),"",INDEX('Long_TCAD'!$I$2:$I$176,MATCH(B10,'Long_TCAD'!$A$2:$A$176,0))),"")</x:f>
        <x:v>95.041</x:v>
      </x:c>
      <x:c r="AA10" s="96" t="n">
        <x:f>IFERROR(IF(ISBLANK(INDEX('Long_TCAD'!$J$2:$J$176,MATCH(B10,'Long_TCAD'!$A$2:$A$176,0))),"",INDEX('Long_TCAD'!$J$2:$J$176,MATCH(B10,'Long_TCAD'!$A$2:$A$176,0))),"")</x:f>
        <x:v>0.0003964</x:v>
      </x:c>
      <x:c r="AB10" s="96" t="n">
        <x:f>IFERROR(IF(ISBLANK(INDEX('Long_TCAD'!$K$2:$K$176,MATCH(B10,'Long_TCAD'!$A$2:$A$176,0))),"",INDEX('Long_TCAD'!$K$2:$K$176,MATCH(B10,'Long_TCAD'!$A$2:$A$176,0))),"")</x:f>
        <x:v>1.006e-11</x:v>
      </x:c>
      <x:c r="AC10" s="95" t="n">
        <x:f>IF(OR(NOT(ISNUMBER(AA10)),NOT(ISNUMBER(AB10))),"",AA10/AB10)</x:f>
        <x:v>39403578.528827034</x:v>
      </x:c>
      <x:c r="AD10" s="93" t="n">
        <x:f>IF(NOT(ISNUMBER(Y10)),"",ABS(Y10-T10)*1000)</x:f>
        <x:v>0.2633333333340593</x:v>
      </x:c>
      <x:c r="AE10" s="93" t="n">
        <x:f>IF(NOT(ISNUMBER(Z10)),"",ABS(Z10-U10))</x:f>
        <x:v>2.103676049112565</x:v>
      </x:c>
      <x:c r="AF10" s="93" t="n">
        <x:f>IF(NOT(ISNUMBER(AA10)),"",ABS(LOG10(AA10)-LOG10(V10)))</x:f>
        <x:v>0.010565203143409807</x:v>
      </x:c>
      <x:c r="AG10" s="93" t="n">
        <x:f>IF(NOT(ISNUMBER(AB10)),"",ABS(LOG10(AB10)-LOG10(W10)))</x:f>
        <x:v>0.36709694050190045</x:v>
      </x:c>
      <x:c r="AH10" s="93" t="n">
        <x:f>IF(NOT(ISNUMBER(AC10)),"",ABS(LOG10(AC10)-LOG10(X10)))</x:f>
        <x:v>0.35653173735846</x:v>
      </x:c>
      <x:c r="AI10" s="85" t="str">
        <x:f>IF(OR(NOT(ISNUMBER(Y10)),NOT(ISNUMBER(Z10)),NOT(ISNUMBER(AA10)),NOT(ISNUMBER(AB10))),"",IF(AND(Y10&gt;=0.3,Y10&lt;=1.2,Z10&lt;=200,AA10&gt;=1E-4,AB10&lt;=1E-6),"PASS","FAIL"))</x:f>
        <x:v>PASS</x:v>
      </x:c>
      <x:c r="AJ10" s="85" t="str"/>
    </x:row>
    <x:row r="11">
      <x:c r="A11" s="85" t="str">
        <x:v>L0180-10</x:v>
      </x:c>
      <x:c r="B11" s="85" t="str">
        <x:v>LR010</x:v>
      </x:c>
      <x:c r="C11" s="93" t="n">
        <x:v>0.18</x:v>
      </x:c>
      <x:c r="D11" s="93" t="str">
        <x:v>Practical</x:v>
      </x:c>
      <x:c r="E11" s="93" t="n">
        <x:v>1</x:v>
      </x:c>
      <x:c r="F11" s="94" t="n">
        <x:v>7121</x:v>
      </x:c>
      <x:c r="G11" s="93" t="n">
        <x:v>0.749985846449932</x:v>
      </x:c>
      <x:c r="H11" s="93" t="n">
        <x:v>84.963</x:v>
      </x:c>
      <x:c r="I11" s="95" t="n">
        <x:v>0.00039337594872777305</x:v>
      </x:c>
      <x:c r="J11" s="95" t="n">
        <x:v>5.669885679052997e-13</x:v>
      </x:c>
      <x:c r="K11" s="95" t="n">
        <x:v>693798730.6888275</x:v>
      </x:c>
      <x:c r="L11" s="95" t="n">
        <x:v>422594690452.4254</x:v>
      </x:c>
      <x:c r="M11" s="95" t="n">
        <x:v>43.314208893136964</x:v>
      </x:c>
      <x:c r="N11" s="95" t="n">
        <x:v>994414593232087.1</x:v>
      </x:c>
      <x:c r="O11" s="95" t="n">
        <x:v>12.196325860112262</x:v>
      </x:c>
      <x:c r="P11" s="93"/>
      <x:c r="Q11" s="95"/>
      <x:c r="R11" s="95"/>
      <x:c r="S11" s="97" t="n">
        <x:v>1</x:v>
      </x:c>
      <x:c r="T11" s="93" t="n">
        <x:v>0.7471800000000012</x:v>
      </x:c>
      <x:c r="U11" s="98" t="n">
        <x:v>89.93646639481278</x:v>
      </x:c>
      <x:c r="V11" s="95" t="n">
        <x:v>0.00036930204384312673</x:v>
      </x:c>
      <x:c r="W11" s="95" t="n">
        <x:v>5.697988089587064e-13</x:v>
      </x:c>
      <x:c r="X11" s="95" t="n">
        <x:v>648127089.837231</x:v>
      </x:c>
      <x:c r="Y11" s="99" t="n">
        <x:f>IFERROR(IF(ISBLANK(INDEX('Long_TCAD'!$H$2:$H$176,MATCH(B11,'Long_TCAD'!$A$2:$A$176,0))),"",INDEX('Long_TCAD'!$H$2:$H$176,MATCH(B11,'Long_TCAD'!$A$2:$A$176,0))),"")</x:f>
        <x:v>0.768</x:v>
      </x:c>
      <x:c r="Z11" s="100" t="n">
        <x:f>IFERROR(IF(ISBLANK(INDEX('Long_TCAD'!$I$2:$I$176,MATCH(B11,'Long_TCAD'!$A$2:$A$176,0))),"",INDEX('Long_TCAD'!$I$2:$I$176,MATCH(B11,'Long_TCAD'!$A$2:$A$176,0))),"")</x:f>
        <x:v>87.559</x:v>
      </x:c>
      <x:c r="AA11" s="96" t="n">
        <x:f>IFERROR(IF(ISBLANK(INDEX('Long_TCAD'!$J$2:$J$176,MATCH(B11,'Long_TCAD'!$A$2:$A$176,0))),"",INDEX('Long_TCAD'!$J$2:$J$176,MATCH(B11,'Long_TCAD'!$A$2:$A$176,0))),"")</x:f>
        <x:v>0.0003529</x:v>
      </x:c>
      <x:c r="AB11" s="96" t="n">
        <x:f>IFERROR(IF(ISBLANK(INDEX('Long_TCAD'!$K$2:$K$176,MATCH(B11,'Long_TCAD'!$A$2:$A$176,0))),"",INDEX('Long_TCAD'!$K$2:$K$176,MATCH(B11,'Long_TCAD'!$A$2:$A$176,0))),"")</x:f>
        <x:v>9.709e-14</x:v>
      </x:c>
      <x:c r="AC11" s="95" t="n">
        <x:f>IF(OR(NOT(ISNUMBER(AA11)),NOT(ISNUMBER(AB11))),"",AA11/AB11)</x:f>
        <x:v>3634771861.1597486</x:v>
      </x:c>
      <x:c r="AD11" s="93" t="n">
        <x:f>IF(NOT(ISNUMBER(Y11)),"",ABS(Y11-T11)*1000)</x:f>
        <x:v>20.81999999999884</x:v>
      </x:c>
      <x:c r="AE11" s="93" t="n">
        <x:f>IF(NOT(ISNUMBER(Z11)),"",ABS(Z11-U11))</x:f>
        <x:v>2.377466394812785</x:v>
      </x:c>
      <x:c r="AF11" s="93" t="n">
        <x:f>IF(NOT(ISNUMBER(AA11)),"",ABS(LOG10(AA11)-LOG10(V11)))</x:f>
        <x:v>0.019730052831049782</x:v>
      </x:c>
      <x:c r="AG11" s="93" t="n">
        <x:f>IF(NOT(ISNUMBER(AB11)),"",ABS(LOG10(AB11)-LOG10(W11)))</x:f>
        <x:v>0.7685470360181004</x:v>
      </x:c>
      <x:c r="AH11" s="93" t="n">
        <x:f>IF(NOT(ISNUMBER(AC11)),"",ABS(LOG10(AC11)-LOG10(X11)))</x:f>
        <x:v>0.748816983187039</x:v>
      </x:c>
      <x:c r="AI11" s="85" t="str">
        <x:f>IF(OR(NOT(ISNUMBER(Y11)),NOT(ISNUMBER(Z11)),NOT(ISNUMBER(AA11)),NOT(ISNUMBER(AB11))),"",IF(AND(Y11&gt;=0.3,Y11&lt;=1.2,Z11&lt;=200,AA11&gt;=1E-4,AB11&lt;=1E-6),"PASS","FAIL"))</x:f>
        <x:v>PASS</x:v>
      </x:c>
      <x:c r="AJ11" s="85" t="str"/>
    </x:row>
    <x:row r="12">
      <x:c r="A12" s="85" t="str">
        <x:v>L0180-11</x:v>
      </x:c>
      <x:c r="B12" s="85" t="str">
        <x:v>LR011</x:v>
      </x:c>
      <x:c r="C12" s="93" t="n">
        <x:v>0.18</x:v>
      </x:c>
      <x:c r="D12" s="93" t="str">
        <x:v>Practical</x:v>
      </x:c>
      <x:c r="E12" s="93" t="n">
        <x:v>1</x:v>
      </x:c>
      <x:c r="F12" s="94" t="n">
        <x:v>16904</x:v>
      </x:c>
      <x:c r="G12" s="93" t="n">
        <x:v>0.6951297554657276</x:v>
      </x:c>
      <x:c r="H12" s="93" t="n">
        <x:v>97.79298418407163</x:v>
      </x:c>
      <x:c r="I12" s="95" t="n">
        <x:v>0.0003997521157445939</x:v>
      </x:c>
      <x:c r="J12" s="95" t="n">
        <x:v>1.990840281057062e-11</x:v>
      </x:c>
      <x:c r="K12" s="95" t="n">
        <x:v>20079567.38409675</x:v>
      </x:c>
      <x:c r="L12" s="95" t="n">
        <x:v>507703640855162.75</x:v>
      </x:c>
      <x:c r="M12" s="95" t="n">
        <x:v>14.311417487588905</x:v>
      </x:c>
      <x:c r="N12" s="95" t="n">
        <x:v>107293411306879.36</x:v>
      </x:c>
      <x:c r="O12" s="95" t="n">
        <x:v>39.640674022608025</x:v>
      </x:c>
      <x:c r="P12" s="93"/>
      <x:c r="Q12" s="95"/>
      <x:c r="R12" s="95"/>
      <x:c r="S12" s="97" t="n">
        <x:v>0.99</x:v>
      </x:c>
      <x:c r="T12" s="93" t="n">
        <x:v>0.7019933333333304</x:v>
      </x:c>
      <x:c r="U12" s="98" t="n">
        <x:v>96.21822478551367</x:v>
      </x:c>
      <x:c r="V12" s="95" t="n">
        <x:v>0.00039619014131108115</x:v>
      </x:c>
      <x:c r="W12" s="95" t="n">
        <x:v>1.9960490056580928e-11</x:v>
      </x:c>
      <x:c r="X12" s="95" t="n">
        <x:v>19848718.152110606</x:v>
      </x:c>
      <x:c r="Y12" s="99" t="n">
        <x:f>IFERROR(IF(ISBLANK(INDEX('Long_TCAD'!$H$2:$H$176,MATCH(B12,'Long_TCAD'!$A$2:$A$176,0))),"",INDEX('Long_TCAD'!$H$2:$H$176,MATCH(B12,'Long_TCAD'!$A$2:$A$176,0))),"")</x:f>
        <x:v>0.709</x:v>
      </x:c>
      <x:c r="Z12" s="100" t="n">
        <x:f>IFERROR(IF(ISBLANK(INDEX('Long_TCAD'!$I$2:$I$176,MATCH(B12,'Long_TCAD'!$A$2:$A$176,0))),"",INDEX('Long_TCAD'!$I$2:$I$176,MATCH(B12,'Long_TCAD'!$A$2:$A$176,0))),"")</x:f>
        <x:v>98.39</x:v>
      </x:c>
      <x:c r="AA12" s="96" t="n">
        <x:f>IFERROR(IF(ISBLANK(INDEX('Long_TCAD'!$J$2:$J$176,MATCH(B12,'Long_TCAD'!$A$2:$A$176,0))),"",INDEX('Long_TCAD'!$J$2:$J$176,MATCH(B12,'Long_TCAD'!$A$2:$A$176,0))),"")</x:f>
        <x:v>0.0004125</x:v>
      </x:c>
      <x:c r="AB12" s="96" t="n">
        <x:f>IFERROR(IF(ISBLANK(INDEX('Long_TCAD'!$K$2:$K$176,MATCH(B12,'Long_TCAD'!$A$2:$A$176,0))),"",INDEX('Long_TCAD'!$K$2:$K$176,MATCH(B12,'Long_TCAD'!$A$2:$A$176,0))),"")</x:f>
        <x:v>4.796e-11</x:v>
      </x:c>
      <x:c r="AC12" s="95" t="n">
        <x:f>IF(OR(NOT(ISNUMBER(AA12)),NOT(ISNUMBER(AB12))),"",AA12/AB12)</x:f>
        <x:v>8600917.43119266</x:v>
      </x:c>
      <x:c r="AD12" s="93" t="n">
        <x:f>IF(NOT(ISNUMBER(Y12)),"",ABS(Y12-T12)*1000)</x:f>
        <x:v>7.006666666669603</x:v>
      </x:c>
      <x:c r="AE12" s="93" t="n">
        <x:f>IF(NOT(ISNUMBER(Z12)),"",ABS(Z12-U12))</x:f>
        <x:v>2.171775214486331</x:v>
      </x:c>
      <x:c r="AF12" s="93" t="n">
        <x:f>IF(NOT(ISNUMBER(AA12)),"",ABS(LOG10(AA12)-LOG10(V12)))</x:f>
        <x:v>0.017520288416040142</x:v>
      </x:c>
      <x:c r="AG12" s="93" t="n">
        <x:f>IF(NOT(ISNUMBER(AB12)),"",ABS(LOG10(AB12)-LOG10(W12)))</x:f>
        <x:v>0.3807079748373994</x:v>
      </x:c>
      <x:c r="AH12" s="93" t="n">
        <x:f>IF(NOT(ISNUMBER(AC12)),"",ABS(LOG10(AC12)-LOG10(X12)))</x:f>
        <x:v>0.36318768642133037</x:v>
      </x:c>
      <x:c r="AI12" s="85" t="str">
        <x:f>IF(OR(NOT(ISNUMBER(Y12)),NOT(ISNUMBER(Z12)),NOT(ISNUMBER(AA12)),NOT(ISNUMBER(AB12))),"",IF(AND(Y12&gt;=0.3,Y12&lt;=1.2,Z12&lt;=200,AA12&gt;=1E-4,AB12&lt;=1E-6),"PASS","FAIL"))</x:f>
        <x:v>PASS</x:v>
      </x:c>
      <x:c r="AJ12" s="85" t="str"/>
    </x:row>
    <x:row r="13">
      <x:c r="A13" s="85" t="str">
        <x:v>L0180-12</x:v>
      </x:c>
      <x:c r="B13" s="85" t="str">
        <x:v>LR012</x:v>
      </x:c>
      <x:c r="C13" s="93" t="n">
        <x:v>0.18</x:v>
      </x:c>
      <x:c r="D13" s="93" t="str">
        <x:v>Practical</x:v>
      </x:c>
      <x:c r="E13" s="93" t="n">
        <x:v>1</x:v>
      </x:c>
      <x:c r="F13" s="94" t="n">
        <x:v>18532</x:v>
      </x:c>
      <x:c r="G13" s="93" t="n">
        <x:v>0.7140327221440905</x:v>
      </x:c>
      <x:c r="H13" s="93" t="n">
        <x:v>85.67825670642706</x:v>
      </x:c>
      <x:c r="I13" s="95" t="n">
        <x:v>0.00038178728947600504</x:v>
      </x:c>
      <x:c r="J13" s="95" t="n">
        <x:v>3.1246401616156517e-11</x:v>
      </x:c>
      <x:c r="K13" s="95" t="n">
        <x:v>12218600.21406737</x:v>
      </x:c>
      <x:c r="L13" s="95" t="n">
        <x:v>28953046777906.73</x:v>
      </x:c>
      <x:c r="M13" s="95" t="n">
        <x:v>25.014501098416172</x:v>
      </x:c>
      <x:c r="N13" s="95" t="n">
        <x:v>338195233554654.94</x:v>
      </x:c>
      <x:c r="O13" s="95" t="n">
        <x:v>37.13698864354496</x:v>
      </x:c>
      <x:c r="P13" s="93"/>
      <x:c r="Q13" s="95"/>
      <x:c r="R13" s="95"/>
      <x:c r="S13" s="97" t="n">
        <x:v>0.9933333333333333</x:v>
      </x:c>
      <x:c r="T13" s="93" t="n">
        <x:v>0.668913333333331</x:v>
      </x:c>
      <x:c r="U13" s="98" t="n">
        <x:v>94.26284401047604</x:v>
      </x:c>
      <x:c r="V13" s="95" t="n">
        <x:v>0.00038003062285828736</x:v>
      </x:c>
      <x:c r="W13" s="95" t="n">
        <x:v>3.4726265258420886e-11</x:v>
      </x:c>
      <x:c r="X13" s="95" t="n">
        <x:v>10943607.67074232</x:v>
      </x:c>
      <x:c r="Y13" s="99" t="n">
        <x:f>IFERROR(IF(ISBLANK(INDEX('Long_TCAD'!$H$2:$H$176,MATCH(B13,'Long_TCAD'!$A$2:$A$176,0))),"",INDEX('Long_TCAD'!$H$2:$H$176,MATCH(B13,'Long_TCAD'!$A$2:$A$176,0))),"")</x:f>
        <x:v>0.671</x:v>
      </x:c>
      <x:c r="Z13" s="100" t="n">
        <x:f>IFERROR(IF(ISBLANK(INDEX('Long_TCAD'!$I$2:$I$176,MATCH(B13,'Long_TCAD'!$A$2:$A$176,0))),"",INDEX('Long_TCAD'!$I$2:$I$176,MATCH(B13,'Long_TCAD'!$A$2:$A$176,0))),"")</x:f>
        <x:v>96.624</x:v>
      </x:c>
      <x:c r="AA13" s="96" t="n">
        <x:f>IFERROR(IF(ISBLANK(INDEX('Long_TCAD'!$J$2:$J$176,MATCH(B13,'Long_TCAD'!$A$2:$A$176,0))),"",INDEX('Long_TCAD'!$J$2:$J$176,MATCH(B13,'Long_TCAD'!$A$2:$A$176,0))),"")</x:f>
        <x:v>0.0004002</x:v>
      </x:c>
      <x:c r="AB13" s="96" t="n">
        <x:f>IFERROR(IF(ISBLANK(INDEX('Long_TCAD'!$K$2:$K$176,MATCH(B13,'Long_TCAD'!$A$2:$A$176,0))),"",INDEX('Long_TCAD'!$K$2:$K$176,MATCH(B13,'Long_TCAD'!$A$2:$A$176,0))),"")</x:f>
        <x:v>1.011e-10</x:v>
      </x:c>
      <x:c r="AC13" s="95" t="n">
        <x:f>IF(OR(NOT(ISNUMBER(AA13)),NOT(ISNUMBER(AB13))),"",AA13/AB13)</x:f>
        <x:v>3958456.9732937687</x:v>
      </x:c>
      <x:c r="AD13" s="93" t="n">
        <x:f>IF(NOT(ISNUMBER(Y13)),"",ABS(Y13-T13)*1000)</x:f>
        <x:v>2.0866666666690126</x:v>
      </x:c>
      <x:c r="AE13" s="93" t="n">
        <x:f>IF(NOT(ISNUMBER(Z13)),"",ABS(Z13-U13))</x:f>
        <x:v>2.361155989523951</x:v>
      </x:c>
      <x:c r="AF13" s="93" t="n">
        <x:f>IF(NOT(ISNUMBER(AA13)),"",ABS(LOG10(AA13)-LOG10(V13)))</x:f>
        <x:v>0.022458490834619926</x:v>
      </x:c>
      <x:c r="AG13" s="93" t="n">
        <x:f>IF(NOT(ISNUMBER(AB13)),"",ABS(LOG10(AB13)-LOG10(W13)))</x:f>
        <x:v>0.46409307728680105</x:v>
      </x:c>
      <x:c r="AH13" s="93" t="n">
        <x:f>IF(NOT(ISNUMBER(AC13)),"",ABS(LOG10(AC13)-LOG10(X13)))</x:f>
        <x:v>0.44163458645213005</x:v>
      </x:c>
      <x:c r="AI13" s="85" t="str">
        <x:f>IF(OR(NOT(ISNUMBER(Y13)),NOT(ISNUMBER(Z13)),NOT(ISNUMBER(AA13)),NOT(ISNUMBER(AB13))),"",IF(AND(Y13&gt;=0.3,Y13&lt;=1.2,Z13&lt;=200,AA13&gt;=1E-4,AB13&lt;=1E-6),"PASS","FAIL"))</x:f>
        <x:v>PASS</x:v>
      </x:c>
      <x:c r="AJ13" s="85" t="str"/>
    </x:row>
    <x:row r="14">
      <x:c r="A14" s="85" t="str">
        <x:v>L0180-13</x:v>
      </x:c>
      <x:c r="B14" s="85" t="str">
        <x:v>LR013</x:v>
      </x:c>
      <x:c r="C14" s="93" t="n">
        <x:v>0.18</x:v>
      </x:c>
      <x:c r="D14" s="93" t="str">
        <x:v>Practical</x:v>
      </x:c>
      <x:c r="E14" s="93" t="n">
        <x:v>1</x:v>
      </x:c>
      <x:c r="F14" s="94" t="n">
        <x:v>22453</x:v>
      </x:c>
      <x:c r="G14" s="93" t="n">
        <x:v>0.7387300614111763</x:v>
      </x:c>
      <x:c r="H14" s="93" t="n">
        <x:v>94.51947338404074</x:v>
      </x:c>
      <x:c r="I14" s="95" t="n">
        <x:v>0.00036458238923473213</x:v>
      </x:c>
      <x:c r="J14" s="95" t="n">
        <x:v>8.738250135972535e-12</x:v>
      </x:c>
      <x:c r="K14" s="95" t="n">
        <x:v>41722585.593409024</x:v>
      </x:c>
      <x:c r="L14" s="95" t="n">
        <x:v>404477628118384.56</x:v>
      </x:c>
      <x:c r="M14" s="95" t="n">
        <x:v>19.033731809438667</x:v>
      </x:c>
      <x:c r="N14" s="95" t="n">
        <x:v>122268380308032.11</x:v>
      </x:c>
      <x:c r="O14" s="95" t="n">
        <x:v>19.681050646032332</x:v>
      </x:c>
      <x:c r="P14" s="93"/>
      <x:c r="Q14" s="95"/>
      <x:c r="R14" s="95"/>
      <x:c r="S14" s="97" t="n">
        <x:v>0.9966666666666667</x:v>
      </x:c>
      <x:c r="T14" s="93" t="n">
        <x:v>0.7193266666666663</x:v>
      </x:c>
      <x:c r="U14" s="98" t="n">
        <x:v>95.61462005653331</x:v>
      </x:c>
      <x:c r="V14" s="95" t="n">
        <x:v>0.00038994843393046463</x:v>
      </x:c>
      <x:c r="W14" s="95" t="n">
        <x:v>8.918723570820086e-12</x:v>
      </x:c>
      <x:c r="X14" s="95" t="n">
        <x:v>43722448.71522669</x:v>
      </x:c>
      <x:c r="Y14" s="99" t="n">
        <x:f>IFERROR(IF(ISBLANK(INDEX('Long_TCAD'!$H$2:$H$176,MATCH(B14,'Long_TCAD'!$A$2:$A$176,0))),"",INDEX('Long_TCAD'!$H$2:$H$176,MATCH(B14,'Long_TCAD'!$A$2:$A$176,0))),"")</x:f>
        <x:v>0.721</x:v>
      </x:c>
      <x:c r="Z14" s="100" t="n">
        <x:f>IFERROR(IF(ISBLANK(INDEX('Long_TCAD'!$I$2:$I$176,MATCH(B14,'Long_TCAD'!$A$2:$A$176,0))),"",INDEX('Long_TCAD'!$I$2:$I$176,MATCH(B14,'Long_TCAD'!$A$2:$A$176,0))),"")</x:f>
        <x:v>97.952</x:v>
      </x:c>
      <x:c r="AA14" s="96" t="n">
        <x:f>IFERROR(IF(ISBLANK(INDEX('Long_TCAD'!$J$2:$J$176,MATCH(B14,'Long_TCAD'!$A$2:$A$176,0))),"",INDEX('Long_TCAD'!$J$2:$J$176,MATCH(B14,'Long_TCAD'!$A$2:$A$176,0))),"")</x:f>
        <x:v>0.0004053</x:v>
      </x:c>
      <x:c r="AB14" s="96" t="n">
        <x:f>IFERROR(IF(ISBLANK(INDEX('Long_TCAD'!$K$2:$K$176,MATCH(B14,'Long_TCAD'!$A$2:$A$176,0))),"",INDEX('Long_TCAD'!$K$2:$K$176,MATCH(B14,'Long_TCAD'!$A$2:$A$176,0))),"")</x:f>
        <x:v>2.181e-11</x:v>
      </x:c>
      <x:c r="AC14" s="95" t="n">
        <x:f>IF(OR(NOT(ISNUMBER(AA14)),NOT(ISNUMBER(AB14))),"",AA14/AB14)</x:f>
        <x:v>18583218.70701513</x:v>
      </x:c>
      <x:c r="AD14" s="93" t="n">
        <x:f>IF(NOT(ISNUMBER(Y14)),"",ABS(Y14-T14)*1000)</x:f>
        <x:v>1.6733333333336375</x:v>
      </x:c>
      <x:c r="AE14" s="93" t="n">
        <x:f>IF(NOT(ISNUMBER(Z14)),"",ABS(Z14-U14))</x:f>
        <x:v>2.3373799434666864</x:v>
      </x:c>
      <x:c r="AF14" s="93" t="n">
        <x:f>IF(NOT(ISNUMBER(AA14)),"",ABS(LOG10(AA14)-LOG10(V14)))</x:f>
        <x:v>0.016769423228309766</x:v>
      </x:c>
      <x:c r="AG14" s="93" t="n">
        <x:f>IF(NOT(ISNUMBER(AB14)),"",ABS(LOG10(AB14)-LOG10(W14)))</x:f>
        <x:v>0.3883529620788</x:v>
      </x:c>
      <x:c r="AH14" s="93" t="n">
        <x:f>IF(NOT(ISNUMBER(AC14)),"",ABS(LOG10(AC14)-LOG10(X14)))</x:f>
        <x:v>0.3715835388504898</x:v>
      </x:c>
      <x:c r="AI14" s="85" t="str">
        <x:f>IF(OR(NOT(ISNUMBER(Y14)),NOT(ISNUMBER(Z14)),NOT(ISNUMBER(AA14)),NOT(ISNUMBER(AB14))),"",IF(AND(Y14&gt;=0.3,Y14&lt;=1.2,Z14&lt;=200,AA14&gt;=1E-4,AB14&lt;=1E-6),"PASS","FAIL"))</x:f>
        <x:v>PASS</x:v>
      </x:c>
      <x:c r="AJ14" s="85" t="str"/>
    </x:row>
    <x:row r="15">
      <x:c r="A15" s="85" t="str">
        <x:v>L0180-14</x:v>
      </x:c>
      <x:c r="B15" s="85" t="str">
        <x:v>LR014</x:v>
      </x:c>
      <x:c r="C15" s="93" t="n">
        <x:v>0.18</x:v>
      </x:c>
      <x:c r="D15" s="93" t="str">
        <x:v>Practical</x:v>
      </x:c>
      <x:c r="E15" s="93" t="n">
        <x:v>1</x:v>
      </x:c>
      <x:c r="F15" s="94" t="n">
        <x:v>20226</x:v>
      </x:c>
      <x:c r="G15" s="93" t="n">
        <x:v>0.7687588398674876</x:v>
      </x:c>
      <x:c r="H15" s="93" t="n">
        <x:v>93.15671235899495</x:v>
      </x:c>
      <x:c r="I15" s="95" t="n">
        <x:v>0.000406</x:v>
      </x:c>
      <x:c r="J15" s="95" t="n">
        <x:v>1.1800802527927602e-12</x:v>
      </x:c>
      <x:c r="K15" s="95" t="n">
        <x:v>344044397.86121875</x:v>
      </x:c>
      <x:c r="L15" s="95" t="n">
        <x:v>552077734008054.94</x:v>
      </x:c>
      <x:c r="M15" s="95" t="n">
        <x:v>14.40918356284601</x:v>
      </x:c>
      <x:c r="N15" s="95" t="n">
        <x:v>531842961531687.3</x:v>
      </x:c>
      <x:c r="O15" s="95" t="n">
        <x:v>11.23329301749399</x:v>
      </x:c>
      <x:c r="P15" s="93"/>
      <x:c r="Q15" s="95"/>
      <x:c r="R15" s="95"/>
      <x:c r="S15" s="97" t="n">
        <x:v>1</x:v>
      </x:c>
      <x:c r="T15" s="93" t="n">
        <x:v>0.7709333333333291</x:v>
      </x:c>
      <x:c r="U15" s="98" t="n">
        <x:v>95.56100150649726</x:v>
      </x:c>
      <x:c r="V15" s="95" t="n">
        <x:v>0.00038523945256926413</x:v>
      </x:c>
      <x:c r="W15" s="95" t="n">
        <x:v>1.3751631155797567e-12</x:v>
      </x:c>
      <x:c r="X15" s="95" t="n">
        <x:v>280140914.34298724</x:v>
      </x:c>
      <x:c r="Y15" s="99" t="n">
        <x:f>IFERROR(IF(ISBLANK(INDEX('Long_TCAD'!$H$2:$H$176,MATCH(B15,'Long_TCAD'!$A$2:$A$176,0))),"",INDEX('Long_TCAD'!$H$2:$H$176,MATCH(B15,'Long_TCAD'!$A$2:$A$176,0))),"")</x:f>
        <x:v>0.736</x:v>
      </x:c>
      <x:c r="Z15" s="100" t="n">
        <x:f>IFERROR(IF(ISBLANK(INDEX('Long_TCAD'!$I$2:$I$176,MATCH(B15,'Long_TCAD'!$A$2:$A$176,0))),"",INDEX('Long_TCAD'!$I$2:$I$176,MATCH(B15,'Long_TCAD'!$A$2:$A$176,0))),"")</x:f>
        <x:v>97.386</x:v>
      </x:c>
      <x:c r="AA15" s="96" t="n">
        <x:f>IFERROR(IF(ISBLANK(INDEX('Long_TCAD'!$J$2:$J$176,MATCH(B15,'Long_TCAD'!$A$2:$A$176,0))),"",INDEX('Long_TCAD'!$J$2:$J$176,MATCH(B15,'Long_TCAD'!$A$2:$A$176,0))),"")</x:f>
        <x:v>0.0004039</x:v>
      </x:c>
      <x:c r="AB15" s="96" t="n">
        <x:f>IFERROR(IF(ISBLANK(INDEX('Long_TCAD'!$K$2:$K$176,MATCH(B15,'Long_TCAD'!$A$2:$A$176,0))),"",INDEX('Long_TCAD'!$K$2:$K$176,MATCH(B15,'Long_TCAD'!$A$2:$A$176,0))),"")</x:f>
        <x:v>1.298e-11</x:v>
      </x:c>
      <x:c r="AC15" s="95" t="n">
        <x:f>IF(OR(NOT(ISNUMBER(AA15)),NOT(ISNUMBER(AB15))),"",AA15/AB15)</x:f>
        <x:v>31117103.235747304</x:v>
      </x:c>
      <x:c r="AD15" s="93" t="n">
        <x:f>IF(NOT(ISNUMBER(Y15)),"",ABS(Y15-T15)*1000)</x:f>
        <x:v>34.93333333332915</x:v>
      </x:c>
      <x:c r="AE15" s="93" t="n">
        <x:f>IF(NOT(ISNUMBER(Z15)),"",ABS(Z15-U15))</x:f>
        <x:v>1.8249984935027328</x:v>
      </x:c>
      <x:c r="AF15" s="93" t="n">
        <x:f>IF(NOT(ISNUMBER(AA15)),"",ABS(LOG10(AA15)-LOG10(V15)))</x:f>
        <x:v>0.02054309612001992</x:v>
      </x:c>
      <x:c r="AG15" s="93" t="n">
        <x:f>IF(NOT(ISNUMBER(AB15)),"",ABS(LOG10(AB15)-LOG10(W15)))</x:f>
        <x:v>0.9749204772111</x:v>
      </x:c>
      <x:c r="AH15" s="93" t="n">
        <x:f>IF(NOT(ISNUMBER(AC15)),"",ABS(LOG10(AC15)-LOG10(X15)))</x:f>
        <x:v>0.9543773810910192</x:v>
      </x:c>
      <x:c r="AI15" s="85" t="str">
        <x:f>IF(OR(NOT(ISNUMBER(Y15)),NOT(ISNUMBER(Z15)),NOT(ISNUMBER(AA15)),NOT(ISNUMBER(AB15))),"",IF(AND(Y15&gt;=0.3,Y15&lt;=1.2,Z15&lt;=200,AA15&gt;=1E-4,AB15&lt;=1E-6),"PASS","FAIL"))</x:f>
        <x:v>PASS</x:v>
      </x:c>
      <x:c r="AJ15" s="85" t="str"/>
    </x:row>
    <x:row r="16">
      <x:c r="A16" s="85" t="str">
        <x:v>L0180-15</x:v>
      </x:c>
      <x:c r="B16" s="85" t="str">
        <x:v>LR015</x:v>
      </x:c>
      <x:c r="C16" s="93" t="n">
        <x:v>0.18</x:v>
      </x:c>
      <x:c r="D16" s="93" t="str">
        <x:v>Practical</x:v>
      </x:c>
      <x:c r="E16" s="93" t="n">
        <x:v>1</x:v>
      </x:c>
      <x:c r="F16" s="94" t="n">
        <x:v>31089</x:v>
      </x:c>
      <x:c r="G16" s="93" t="n">
        <x:v>0.735018243579283</x:v>
      </x:c>
      <x:c r="H16" s="93" t="n">
        <x:v>97.09916769114068</x:v>
      </x:c>
      <x:c r="I16" s="95" t="n">
        <x:v>0.00035710098711821145</x:v>
      </x:c>
      <x:c r="J16" s="95" t="n">
        <x:v>2.2321634240728283e-12</x:v>
      </x:c>
      <x:c r="K16" s="95" t="n">
        <x:v>159979768.1778341</x:v>
      </x:c>
      <x:c r="L16" s="95" t="n">
        <x:v>767449465763825.6</x:v>
      </x:c>
      <x:c r="M16" s="95" t="n">
        <x:v>11.613497735514432</x:v>
      </x:c>
      <x:c r="N16" s="95" t="n">
        <x:v>445536418955410.75</x:v>
      </x:c>
      <x:c r="O16" s="95" t="n">
        <x:v>23.0461671404516</x:v>
      </x:c>
      <x:c r="P16" s="93"/>
      <x:c r="Q16" s="95"/>
      <x:c r="R16" s="95"/>
      <x:c r="S16" s="97" t="n">
        <x:v>1</x:v>
      </x:c>
      <x:c r="T16" s="93" t="n">
        <x:v>0.7617000000000029</x:v>
      </x:c>
      <x:c r="U16" s="98" t="n">
        <x:v>95.86748586450096</x:v>
      </x:c>
      <x:c r="V16" s="95" t="n">
        <x:v>0.00039118747161402207</x:v>
      </x:c>
      <x:c r="W16" s="95" t="n">
        <x:v>2.1124229270998663e-12</x:v>
      </x:c>
      <x:c r="X16" s="95" t="n">
        <x:v>185184257.65766573</x:v>
      </x:c>
      <x:c r="Y16" s="99" t="n">
        <x:f>IFERROR(IF(ISBLANK(INDEX('Long_TCAD'!$H$2:$H$176,MATCH(B16,'Long_TCAD'!$A$2:$A$176,0))),"",INDEX('Long_TCAD'!$H$2:$H$176,MATCH(B16,'Long_TCAD'!$A$2:$A$176,0))),"")</x:f>
        <x:v>0.743</x:v>
      </x:c>
      <x:c r="Z16" s="100" t="n">
        <x:f>IFERROR(IF(ISBLANK(INDEX('Long_TCAD'!$I$2:$I$176,MATCH(B16,'Long_TCAD'!$A$2:$A$176,0))),"",INDEX('Long_TCAD'!$I$2:$I$176,MATCH(B16,'Long_TCAD'!$A$2:$A$176,0))),"")</x:f>
        <x:v>96.153</x:v>
      </x:c>
      <x:c r="AA16" s="96" t="n">
        <x:f>IFERROR(IF(ISBLANK(INDEX('Long_TCAD'!$J$2:$J$176,MATCH(B16,'Long_TCAD'!$A$2:$A$176,0))),"",INDEX('Long_TCAD'!$J$2:$J$176,MATCH(B16,'Long_TCAD'!$A$2:$A$176,0))),"")</x:f>
        <x:v>0.0003985</x:v>
      </x:c>
      <x:c r="AB16" s="96" t="n">
        <x:f>IFERROR(IF(ISBLANK(INDEX('Long_TCAD'!$K$2:$K$176,MATCH(B16,'Long_TCAD'!$A$2:$A$176,0))),"",INDEX('Long_TCAD'!$K$2:$K$176,MATCH(B16,'Long_TCAD'!$A$2:$A$176,0))),"")</x:f>
        <x:v>6.38e-12</x:v>
      </x:c>
      <x:c r="AC16" s="95" t="n">
        <x:f>IF(OR(NOT(ISNUMBER(AA16)),NOT(ISNUMBER(AB16))),"",AA16/AB16)</x:f>
        <x:v>62460815.04702194</x:v>
      </x:c>
      <x:c r="AD16" s="93" t="n">
        <x:f>IF(NOT(ISNUMBER(Y16)),"",ABS(Y16-T16)*1000)</x:f>
        <x:v>18.700000000002937</x:v>
      </x:c>
      <x:c r="AE16" s="93" t="n">
        <x:f>IF(NOT(ISNUMBER(Z16)),"",ABS(Z16-U16))</x:f>
        <x:v>0.28551413549904225</x:v>
      </x:c>
      <x:c r="AF16" s="93" t="n">
        <x:f>IF(NOT(ISNUMBER(AA16)),"",ABS(LOG10(AA16)-LOG10(V16)))</x:f>
        <x:v>0.008043388348740077</x:v>
      </x:c>
      <x:c r="AG16" s="93" t="n">
        <x:f>IF(NOT(ISNUMBER(AB16)),"",ABS(LOG10(AB16)-LOG10(W16)))</x:f>
        <x:v>0.4800398062808995</x:v>
      </x:c>
      <x:c r="AH16" s="93" t="n">
        <x:f>IF(NOT(ISNUMBER(AC16)),"",ABS(LOG10(AC16)-LOG10(X16)))</x:f>
        <x:v>0.47199641793216074</x:v>
      </x:c>
      <x:c r="AI16" s="85" t="str">
        <x:f>IF(OR(NOT(ISNUMBER(Y16)),NOT(ISNUMBER(Z16)),NOT(ISNUMBER(AA16)),NOT(ISNUMBER(AB16))),"",IF(AND(Y16&gt;=0.3,Y16&lt;=1.2,Z16&lt;=200,AA16&gt;=1E-4,AB16&lt;=1E-6),"PASS","FAIL"))</x:f>
        <x:v>PASS</x:v>
      </x:c>
      <x:c r="AJ16" s="85" t="str"/>
    </x:row>
    <x:row r="17">
      <x:c r="A17" s="85" t="str">
        <x:v>L0180-16</x:v>
      </x:c>
      <x:c r="B17" s="85" t="str">
        <x:v>LR016</x:v>
      </x:c>
      <x:c r="C17" s="93" t="n">
        <x:v>0.18</x:v>
      </x:c>
      <x:c r="D17" s="93" t="str">
        <x:v>Practical</x:v>
      </x:c>
      <x:c r="E17" s="93" t="n">
        <x:v>1</x:v>
      </x:c>
      <x:c r="F17" s="94" t="n">
        <x:v>23008</x:v>
      </x:c>
      <x:c r="G17" s="93" t="n">
        <x:v>0.7071587117157462</x:v>
      </x:c>
      <x:c r="H17" s="93" t="n">
        <x:v>85.55830917438146</x:v>
      </x:c>
      <x:c r="I17" s="95" t="n">
        <x:v>0.0003343851396369094</x:v>
      </x:c>
      <x:c r="J17" s="95" t="n">
        <x:v>1.6106541567352117e-12</x:v>
      </x:c>
      <x:c r="K17" s="95" t="n">
        <x:v>207608280.29941976</x:v>
      </x:c>
      <x:c r="L17" s="95" t="n">
        <x:v>1127843261584.377</x:v>
      </x:c>
      <x:c r="M17" s="95" t="n">
        <x:v>13.423352801307564</x:v>
      </x:c>
      <x:c r="N17" s="95" t="n">
        <x:v>112690507817529.66</x:v>
      </x:c>
      <x:c r="O17" s="95" t="n">
        <x:v>38.08637923876278</x:v>
      </x:c>
      <x:c r="P17" s="93"/>
      <x:c r="Q17" s="95"/>
      <x:c r="R17" s="95"/>
      <x:c r="S17" s="97" t="n">
        <x:v>0.99</x:v>
      </x:c>
      <x:c r="T17" s="93" t="n">
        <x:v>0.6957599999999992</x:v>
      </x:c>
      <x:c r="U17" s="98" t="n">
        <x:v>87.46165753479414</x:v>
      </x:c>
      <x:c r="V17" s="95" t="n">
        <x:v>0.00034738054068480514</x:v>
      </x:c>
      <x:c r="W17" s="95" t="n">
        <x:v>1.8067199644213517e-12</x:v>
      </x:c>
      <x:c r="X17" s="95" t="n">
        <x:v>192271379.91806197</x:v>
      </x:c>
      <x:c r="Y17" s="99" t="n">
        <x:f>IFERROR(IF(ISBLANK(INDEX('Long_TCAD'!$H$2:$H$176,MATCH(B17,'Long_TCAD'!$A$2:$A$176,0))),"",INDEX('Long_TCAD'!$H$2:$H$176,MATCH(B17,'Long_TCAD'!$A$2:$A$176,0))),"")</x:f>
        <x:v>0.7</x:v>
      </x:c>
      <x:c r="Z17" s="100" t="n">
        <x:f>IFERROR(IF(ISBLANK(INDEX('Long_TCAD'!$I$2:$I$176,MATCH(B17,'Long_TCAD'!$A$2:$A$176,0))),"",INDEX('Long_TCAD'!$I$2:$I$176,MATCH(B17,'Long_TCAD'!$A$2:$A$176,0))),"")</x:f>
        <x:v>87.895</x:v>
      </x:c>
      <x:c r="AA17" s="96" t="n">
        <x:f>IFERROR(IF(ISBLANK(INDEX('Long_TCAD'!$J$2:$J$176,MATCH(B17,'Long_TCAD'!$A$2:$A$176,0))),"",INDEX('Long_TCAD'!$J$2:$J$176,MATCH(B17,'Long_TCAD'!$A$2:$A$176,0))),"")</x:f>
        <x:v>0.0003512</x:v>
      </x:c>
      <x:c r="AB17" s="96" t="n">
        <x:f>IFERROR(IF(ISBLANK(INDEX('Long_TCAD'!$K$2:$K$176,MATCH(B17,'Long_TCAD'!$A$2:$A$176,0))),"",INDEX('Long_TCAD'!$K$2:$K$176,MATCH(B17,'Long_TCAD'!$A$2:$A$176,0))),"")</x:f>
        <x:v>1.968e-12</x:v>
      </x:c>
      <x:c r="AC17" s="95" t="n">
        <x:f>IF(OR(NOT(ISNUMBER(AA17)),NOT(ISNUMBER(AB17))),"",AA17/AB17)</x:f>
        <x:v>178455284.55284554</x:v>
      </x:c>
      <x:c r="AD17" s="93" t="n">
        <x:f>IF(NOT(ISNUMBER(Y17)),"",ABS(Y17-T17)*1000)</x:f>
        <x:v>4.240000000000799</x:v>
      </x:c>
      <x:c r="AE17" s="93" t="n">
        <x:f>IF(NOT(ISNUMBER(Z17)),"",ABS(Z17-U17))</x:f>
        <x:v>0.43334246520585396</x:v>
      </x:c>
      <x:c r="AF17" s="93" t="n">
        <x:f>IF(NOT(ISNUMBER(AA17)),"",ABS(LOG10(AA17)-LOG10(V17)))</x:f>
        <x:v>0.004749020439939855</x:v>
      </x:c>
      <x:c r="AG17" s="93" t="n">
        <x:f>IF(NOT(ISNUMBER(AB17)),"",ABS(LOG10(AB17)-LOG10(W17)))</x:f>
        <x:v>0.037134250516800194</x:v>
      </x:c>
      <x:c r="AH17" s="93" t="n">
        <x:f>IF(NOT(ISNUMBER(AC17)),"",ABS(LOG10(AC17)-LOG10(X17)))</x:f>
        <x:v>0.03238523007687988</x:v>
      </x:c>
      <x:c r="AI17" s="85" t="str">
        <x:f>IF(OR(NOT(ISNUMBER(Y17)),NOT(ISNUMBER(Z17)),NOT(ISNUMBER(AA17)),NOT(ISNUMBER(AB17))),"",IF(AND(Y17&gt;=0.3,Y17&lt;=1.2,Z17&lt;=200,AA17&gt;=1E-4,AB17&lt;=1E-6),"PASS","FAIL"))</x:f>
        <x:v>PASS</x:v>
      </x:c>
      <x:c r="AJ17" s="85" t="str"/>
    </x:row>
    <x:row r="18">
      <x:c r="A18" s="85" t="str">
        <x:v>L0180-17</x:v>
      </x:c>
      <x:c r="B18" s="85" t="str">
        <x:v>LR017</x:v>
      </x:c>
      <x:c r="C18" s="93" t="n">
        <x:v>0.18</x:v>
      </x:c>
      <x:c r="D18" s="93" t="str">
        <x:v>Practical</x:v>
      </x:c>
      <x:c r="E18" s="93" t="n">
        <x:v>1</x:v>
      </x:c>
      <x:c r="F18" s="94" t="n">
        <x:v>23253</x:v>
      </x:c>
      <x:c r="G18" s="93" t="n">
        <x:v>0.693358279344836</x:v>
      </x:c>
      <x:c r="H18" s="93" t="n">
        <x:v>91.04470175451044</x:v>
      </x:c>
      <x:c r="I18" s="95" t="n">
        <x:v>0.0003105050229680588</x:v>
      </x:c>
      <x:c r="J18" s="95" t="n">
        <x:v>1.192761152659481e-12</x:v>
      </x:c>
      <x:c r="K18" s="95" t="n">
        <x:v>260324560.60103115</x:v>
      </x:c>
      <x:c r="L18" s="95" t="n">
        <x:v>283011007804.57117</x:v>
      </x:c>
      <x:c r="M18" s="95" t="n">
        <x:v>66.75522719970722</x:v>
      </x:c>
      <x:c r="N18" s="95" t="n">
        <x:v>165236190399848.22</x:v>
      </x:c>
      <x:c r="O18" s="95" t="n">
        <x:v>37.14547144514081</x:v>
      </x:c>
      <x:c r="P18" s="93"/>
      <x:c r="Q18" s="95"/>
      <x:c r="R18" s="95"/>
      <x:c r="S18" s="97" t="n">
        <x:v>0.99</x:v>
      </x:c>
      <x:c r="T18" s="93" t="n">
        <x:v>0.673516666666666</x:v>
      </x:c>
      <x:c r="U18" s="98" t="n">
        <x:v>88.52964552690564</x:v>
      </x:c>
      <x:c r="V18" s="95" t="n">
        <x:v>0.00033814960776007517</x:v>
      </x:c>
      <x:c r="W18" s="95" t="n">
        <x:v>1.2275939130971814e-12</x:v>
      </x:c>
      <x:c r="X18" s="95" t="n">
        <x:v>275457220.9525984</x:v>
      </x:c>
      <x:c r="Y18" s="99" t="n">
        <x:f>IFERROR(IF(ISBLANK(INDEX('Long_TCAD'!$H$2:$H$176,MATCH(B18,'Long_TCAD'!$A$2:$A$176,0))),"",INDEX('Long_TCAD'!$H$2:$H$176,MATCH(B18,'Long_TCAD'!$A$2:$A$176,0))),"")</x:f>
        <x:v>0.686</x:v>
      </x:c>
      <x:c r="Z18" s="100" t="n">
        <x:f>IFERROR(IF(ISBLANK(INDEX('Long_TCAD'!$I$2:$I$176,MATCH(B18,'Long_TCAD'!$A$2:$A$176,0))),"",INDEX('Long_TCAD'!$I$2:$I$176,MATCH(B18,'Long_TCAD'!$A$2:$A$176,0))),"")</x:f>
        <x:v>88.559</x:v>
      </x:c>
      <x:c r="AA18" s="96" t="n">
        <x:f>IFERROR(IF(ISBLANK(INDEX('Long_TCAD'!$J$2:$J$176,MATCH(B18,'Long_TCAD'!$A$2:$A$176,0))),"",INDEX('Long_TCAD'!$J$2:$J$176,MATCH(B18,'Long_TCAD'!$A$2:$A$176,0))),"")</x:f>
        <x:v>0.0003584</x:v>
      </x:c>
      <x:c r="AB18" s="96" t="n">
        <x:f>IFERROR(IF(ISBLANK(INDEX('Long_TCAD'!$K$2:$K$176,MATCH(B18,'Long_TCAD'!$A$2:$A$176,0))),"",INDEX('Long_TCAD'!$K$2:$K$176,MATCH(B18,'Long_TCAD'!$A$2:$A$176,0))),"")</x:f>
        <x:v>5.881e-12</x:v>
      </x:c>
      <x:c r="AC18" s="95" t="n">
        <x:f>IF(OR(NOT(ISNUMBER(AA18)),NOT(ISNUMBER(AB18))),"",AA18/AB18)</x:f>
        <x:v>60942016.66383268</x:v>
      </x:c>
      <x:c r="AD18" s="93" t="n">
        <x:f>IF(NOT(ISNUMBER(Y18)),"",ABS(Y18-T18)*1000)</x:f>
        <x:v>12.483333333334068</x:v>
      </x:c>
      <x:c r="AE18" s="93" t="n">
        <x:f>IF(NOT(ISNUMBER(Z18)),"",ABS(Z18-U18))</x:f>
        <x:v>0.029354473094358013</x:v>
      </x:c>
      <x:c r="AF18" s="93" t="n">
        <x:f>IF(NOT(ISNUMBER(AA18)),"",ABS(LOG10(AA18)-LOG10(V18)))</x:f>
        <x:v>0.02525911299253991</x:v>
      </x:c>
      <x:c r="AG18" s="93" t="n">
        <x:f>IF(NOT(ISNUMBER(AB18)),"",ABS(LOG10(AB18)-LOG10(W18)))</x:f>
        <x:v>0.6803964530429987</x:v>
      </x:c>
      <x:c r="AH18" s="93" t="n">
        <x:f>IF(NOT(ISNUMBER(AC18)),"",ABS(LOG10(AC18)-LOG10(X18)))</x:f>
        <x:v>0.6551373400505405</x:v>
      </x:c>
      <x:c r="AI18" s="85" t="str">
        <x:f>IF(OR(NOT(ISNUMBER(Y18)),NOT(ISNUMBER(Z18)),NOT(ISNUMBER(AA18)),NOT(ISNUMBER(AB18))),"",IF(AND(Y18&gt;=0.3,Y18&lt;=1.2,Z18&lt;=200,AA18&gt;=1E-4,AB18&lt;=1E-6),"PASS","FAIL"))</x:f>
        <x:v>PASS</x:v>
      </x:c>
      <x:c r="AJ18" s="85" t="str"/>
    </x:row>
    <x:row r="19">
      <x:c r="A19" s="85" t="str">
        <x:v>L0180-18</x:v>
      </x:c>
      <x:c r="B19" s="85" t="str">
        <x:v>LR018</x:v>
      </x:c>
      <x:c r="C19" s="93" t="n">
        <x:v>0.18</x:v>
      </x:c>
      <x:c r="D19" s="93" t="str">
        <x:v>Practical</x:v>
      </x:c>
      <x:c r="E19" s="93" t="n">
        <x:v>1</x:v>
      </x:c>
      <x:c r="F19" s="94" t="n">
        <x:v>19956</x:v>
      </x:c>
      <x:c r="G19" s="93" t="n">
        <x:v>0.7087390347895893</x:v>
      </x:c>
      <x:c r="H19" s="93" t="n">
        <x:v>93.20744933584342</x:v>
      </x:c>
      <x:c r="I19" s="95" t="n">
        <x:v>0.0003958158779696639</x:v>
      </x:c>
      <x:c r="J19" s="95" t="n">
        <x:v>9.999404459304958e-12</x:v>
      </x:c>
      <x:c r="K19" s="95" t="n">
        <x:v>39583945.181989014</x:v>
      </x:c>
      <x:c r="L19" s="95" t="n">
        <x:v>50257961976466.23</x:v>
      </x:c>
      <x:c r="M19" s="95" t="n">
        <x:v>21.2299175831166</x:v>
      </x:c>
      <x:c r="N19" s="95" t="n">
        <x:v>2134769766829635.2</x:v>
      </x:c>
      <x:c r="O19" s="95" t="n">
        <x:v>20.812970512488345</x:v>
      </x:c>
      <x:c r="P19" s="93"/>
      <x:c r="Q19" s="95"/>
      <x:c r="R19" s="95"/>
      <x:c r="S19" s="97" t="n">
        <x:v>1</x:v>
      </x:c>
      <x:c r="T19" s="93" t="n">
        <x:v>0.7123533333333325</x:v>
      </x:c>
      <x:c r="U19" s="98" t="n">
        <x:v>93.5839242361302</x:v>
      </x:c>
      <x:c r="V19" s="95" t="n">
        <x:v>0.00039090603016127533</x:v>
      </x:c>
      <x:c r="W19" s="95" t="n">
        <x:v>9.5222368927266e-12</x:v>
      </x:c>
      <x:c r="X19" s="95" t="n">
        <x:v>41051911.91576659</x:v>
      </x:c>
      <x:c r="Y19" s="99" t="n">
        <x:f>IFERROR(IF(ISBLANK(INDEX('Long_TCAD'!$H$2:$H$176,MATCH(B19,'Long_TCAD'!$A$2:$A$176,0))),"",INDEX('Long_TCAD'!$H$2:$H$176,MATCH(B19,'Long_TCAD'!$A$2:$A$176,0))),"")</x:f>
        <x:v>0.665</x:v>
      </x:c>
      <x:c r="Z19" s="100" t="n">
        <x:f>IFERROR(IF(ISBLANK(INDEX('Long_TCAD'!$I$2:$I$176,MATCH(B19,'Long_TCAD'!$A$2:$A$176,0))),"",INDEX('Long_TCAD'!$I$2:$I$176,MATCH(B19,'Long_TCAD'!$A$2:$A$176,0))),"")</x:f>
        <x:v>101.425</x:v>
      </x:c>
      <x:c r="AA19" s="96" t="n">
        <x:f>IFERROR(IF(ISBLANK(INDEX('Long_TCAD'!$J$2:$J$176,MATCH(B19,'Long_TCAD'!$A$2:$A$176,0))),"",INDEX('Long_TCAD'!$J$2:$J$176,MATCH(B19,'Long_TCAD'!$A$2:$A$176,0))),"")</x:f>
        <x:v>0.0004221</x:v>
      </x:c>
      <x:c r="AB19" s="96" t="n">
        <x:f>IFERROR(IF(ISBLANK(INDEX('Long_TCAD'!$K$2:$K$176,MATCH(B19,'Long_TCAD'!$A$2:$A$176,0))),"",INDEX('Long_TCAD'!$K$2:$K$176,MATCH(B19,'Long_TCAD'!$A$2:$A$176,0))),"")</x:f>
        <x:v>6.525e-10</x:v>
      </x:c>
      <x:c r="AC19" s="95" t="n">
        <x:f>IF(OR(NOT(ISNUMBER(AA19)),NOT(ISNUMBER(AB19))),"",AA19/AB19)</x:f>
        <x:v>646896.551724138</x:v>
      </x:c>
      <x:c r="AD19" s="93" t="n">
        <x:f>IF(NOT(ISNUMBER(Y19)),"",ABS(Y19-T19)*1000)</x:f>
        <x:v>47.35333333333247</x:v>
      </x:c>
      <x:c r="AE19" s="93" t="n">
        <x:f>IF(NOT(ISNUMBER(Z19)),"",ABS(Z19-U19))</x:f>
        <x:v>7.841075763869796</x:v>
      </x:c>
      <x:c r="AF19" s="93" t="n">
        <x:f>IF(NOT(ISNUMBER(AA19)),"",ABS(LOG10(AA19)-LOG10(V19)))</x:f>
        <x:v>0.03334298219398013</x:v>
      </x:c>
      <x:c r="AG19" s="93" t="n">
        <x:f>IF(NOT(ISNUMBER(AB19)),"",ABS(LOG10(AB19)-LOG10(W19)))</x:f>
        <x:v>1.8358415344269208</x:v>
      </x:c>
      <x:c r="AH19" s="93" t="n">
        <x:f>IF(NOT(ISNUMBER(AC19)),"",ABS(LOG10(AC19)-LOG10(X19)))</x:f>
        <x:v>1.8024985522329606</x:v>
      </x:c>
      <x:c r="AI19" s="85" t="str">
        <x:f>IF(OR(NOT(ISNUMBER(Y19)),NOT(ISNUMBER(Z19)),NOT(ISNUMBER(AA19)),NOT(ISNUMBER(AB19))),"",IF(AND(Y19&gt;=0.3,Y19&lt;=1.2,Z19&lt;=200,AA19&gt;=1E-4,AB19&lt;=1E-6),"PASS","FAIL"))</x:f>
        <x:v>PASS</x:v>
      </x:c>
      <x:c r="AJ19" s="85" t="str"/>
    </x:row>
    <x:row r="20">
      <x:c r="A20" s="85" t="str">
        <x:v>L0180-19</x:v>
      </x:c>
      <x:c r="B20" s="85" t="str">
        <x:v>LR019</x:v>
      </x:c>
      <x:c r="C20" s="93" t="n">
        <x:v>0.18</x:v>
      </x:c>
      <x:c r="D20" s="93" t="str">
        <x:v>Practical</x:v>
      </x:c>
      <x:c r="E20" s="93" t="n">
        <x:v>1</x:v>
      </x:c>
      <x:c r="F20" s="94" t="n">
        <x:v>26697</x:v>
      </x:c>
      <x:c r="G20" s="93" t="n">
        <x:v>0.7356599907555417</x:v>
      </x:c>
      <x:c r="H20" s="93" t="n">
        <x:v>90.68930446281934</x:v>
      </x:c>
      <x:c r="I20" s="95" t="n">
        <x:v>0.0003622201610440511</x:v>
      </x:c>
      <x:c r="J20" s="95" t="n">
        <x:v>5.826279019457127e-12</x:v>
      </x:c>
      <x:c r="K20" s="95" t="n">
        <x:v>62170067.69404627</x:v>
      </x:c>
      <x:c r="L20" s="95" t="n">
        <x:v>51799535997591.04</x:v>
      </x:c>
      <x:c r="M20" s="95" t="n">
        <x:v>11.343865781303322</x:v>
      </x:c>
      <x:c r="N20" s="95" t="n">
        <x:v>4642760652629327</x:v>
      </x:c>
      <x:c r="O20" s="95" t="n">
        <x:v>23.95188741871351</x:v>
      </x:c>
      <x:c r="P20" s="93"/>
      <x:c r="Q20" s="95"/>
      <x:c r="R20" s="95"/>
      <x:c r="S20" s="97" t="n">
        <x:v>1</x:v>
      </x:c>
      <x:c r="T20" s="93" t="n">
        <x:v>0.7235566666666652</x:v>
      </x:c>
      <x:c r="U20" s="98" t="n">
        <x:v>92.9437195715669</x:v>
      </x:c>
      <x:c r="V20" s="95" t="n">
        <x:v>0.0003868626322530905</x:v>
      </x:c>
      <x:c r="W20" s="95" t="n">
        <x:v>5.770436072426255e-12</x:v>
      </x:c>
      <x:c r="X20" s="95" t="n">
        <x:v>67042183.189879626</x:v>
      </x:c>
      <x:c r="Y20" s="99" t="n">
        <x:f>IFERROR(IF(ISBLANK(INDEX('Long_TCAD'!$H$2:$H$176,MATCH(B20,'Long_TCAD'!$A$2:$A$176,0))),"",INDEX('Long_TCAD'!$H$2:$H$176,MATCH(B20,'Long_TCAD'!$A$2:$A$176,0))),"")</x:f>
        <x:v>0.65</x:v>
      </x:c>
      <x:c r="Z20" s="100" t="n">
        <x:f>IFERROR(IF(ISBLANK(INDEX('Long_TCAD'!$I$2:$I$176,MATCH(B20,'Long_TCAD'!$A$2:$A$176,0))),"",INDEX('Long_TCAD'!$I$2:$I$176,MATCH(B20,'Long_TCAD'!$A$2:$A$176,0))),"")</x:f>
        <x:v>105.098</x:v>
      </x:c>
      <x:c r="AA20" s="96" t="n">
        <x:f>IFERROR(IF(ISBLANK(INDEX('Long_TCAD'!$J$2:$J$176,MATCH(B20,'Long_TCAD'!$A$2:$A$176,0))),"",INDEX('Long_TCAD'!$J$2:$J$176,MATCH(B20,'Long_TCAD'!$A$2:$A$176,0))),"")</x:f>
        <x:v>0.0004316</x:v>
      </x:c>
      <x:c r="AB20" s="96" t="n">
        <x:f>IFERROR(IF(ISBLANK(INDEX('Long_TCAD'!$K$2:$K$176,MATCH(B20,'Long_TCAD'!$A$2:$A$176,0))),"",INDEX('Long_TCAD'!$K$2:$K$176,MATCH(B20,'Long_TCAD'!$A$2:$A$176,0))),"")</x:f>
        <x:v>2.619e-9</x:v>
      </x:c>
      <x:c r="AC20" s="95" t="n">
        <x:f>IF(OR(NOT(ISNUMBER(AA20)),NOT(ISNUMBER(AB20))),"",AA20/AB20)</x:f>
        <x:v>164795.72355861013</x:v>
      </x:c>
      <x:c r="AD20" s="93" t="n">
        <x:f>IF(NOT(ISNUMBER(Y20)),"",ABS(Y20-T20)*1000)</x:f>
        <x:v>73.55666666666517</x:v>
      </x:c>
      <x:c r="AE20" s="93" t="n">
        <x:f>IF(NOT(ISNUMBER(Z20)),"",ABS(Z20-U20))</x:f>
        <x:v>12.154280428433097</x:v>
      </x:c>
      <x:c r="AF20" s="93" t="n">
        <x:f>IF(NOT(ISNUMBER(AA20)),"",ABS(LOG10(AA20)-LOG10(V20)))</x:f>
        <x:v>0.047524653537060146</x:v>
      </x:c>
      <x:c r="AG20" s="93" t="n">
        <x:f>IF(NOT(ISNUMBER(AB20)),"",ABS(LOG10(AB20)-LOG10(W20)))</x:f>
        <x:v>2.6569268643522292</x:v>
      </x:c>
      <x:c r="AH20" s="93" t="n">
        <x:f>IF(NOT(ISNUMBER(AC20)),"",ABS(LOG10(AC20)-LOG10(X20)))</x:f>
        <x:v>2.60940221081521</x:v>
      </x:c>
      <x:c r="AI20" s="85" t="str">
        <x:f>IF(OR(NOT(ISNUMBER(Y20)),NOT(ISNUMBER(Z20)),NOT(ISNUMBER(AA20)),NOT(ISNUMBER(AB20))),"",IF(AND(Y20&gt;=0.3,Y20&lt;=1.2,Z20&lt;=200,AA20&gt;=1E-4,AB20&lt;=1E-6),"PASS","FAIL"))</x:f>
        <x:v>PASS</x:v>
      </x:c>
      <x:c r="AJ20" s="85" t="str"/>
    </x:row>
    <x:row r="21">
      <x:c r="A21" s="85" t="str">
        <x:v>L0180-20</x:v>
      </x:c>
      <x:c r="B21" s="85" t="str">
        <x:v>LR020</x:v>
      </x:c>
      <x:c r="C21" s="93" t="n">
        <x:v>0.18</x:v>
      </x:c>
      <x:c r="D21" s="93" t="str">
        <x:v>Practical</x:v>
      </x:c>
      <x:c r="E21" s="93" t="n">
        <x:v>1</x:v>
      </x:c>
      <x:c r="F21" s="94" t="n">
        <x:v>14619</x:v>
      </x:c>
      <x:c r="G21" s="93" t="n">
        <x:v>0.7508970764656543</x:v>
      </x:c>
      <x:c r="H21" s="93" t="n">
        <x:v>84.963</x:v>
      </x:c>
      <x:c r="I21" s="95" t="n">
        <x:v>0.00037800837224056687</x:v>
      </x:c>
      <x:c r="J21" s="95" t="n">
        <x:v>2.650768226014006e-13</x:v>
      </x:c>
      <x:c r="K21" s="95" t="n">
        <x:v>1426033285.4863849</x:v>
      </x:c>
      <x:c r="L21" s="95" t="n">
        <x:v>905997143549.6433</x:v>
      </x:c>
      <x:c r="M21" s="95" t="n">
        <x:v>53.70969389123046</x:v>
      </x:c>
      <x:c r="N21" s="95" t="n">
        <x:v>491542498757935.75</x:v>
      </x:c>
      <x:c r="O21" s="95" t="n">
        <x:v>27.80550962071296</x:v>
      </x:c>
      <x:c r="P21" s="93"/>
      <x:c r="Q21" s="95"/>
      <x:c r="R21" s="95"/>
      <x:c r="S21" s="97" t="n">
        <x:v>1</x:v>
      </x:c>
      <x:c r="T21" s="93" t="n">
        <x:v>0.7114266666666683</x:v>
      </x:c>
      <x:c r="U21" s="98" t="n">
        <x:v>85.8874518463339</x:v>
      </x:c>
      <x:c r="V21" s="95" t="n">
        <x:v>0.00033375417994130574</x:v>
      </x:c>
      <x:c r="W21" s="95" t="n">
        <x:v>2.5758279799130906e-13</x:v>
      </x:c>
      <x:c r="X21" s="95" t="n">
        <x:v>1295716105.8269377</x:v>
      </x:c>
      <x:c r="Y21" s="99" t="n">
        <x:f>IFERROR(IF(ISBLANK(INDEX('Long_TCAD'!$H$2:$H$176,MATCH(B21,'Long_TCAD'!$A$2:$A$176,0))),"",INDEX('Long_TCAD'!$H$2:$H$176,MATCH(B21,'Long_TCAD'!$A$2:$A$176,0))),"")</x:f>
        <x:v>0.673</x:v>
      </x:c>
      <x:c r="Z21" s="100" t="n">
        <x:f>IFERROR(IF(ISBLANK(INDEX('Long_TCAD'!$I$2:$I$176,MATCH(B21,'Long_TCAD'!$A$2:$A$176,0))),"",INDEX('Long_TCAD'!$I$2:$I$176,MATCH(B21,'Long_TCAD'!$A$2:$A$176,0))),"")</x:f>
        <x:v>93.345</x:v>
      </x:c>
      <x:c r="AA21" s="96" t="n">
        <x:f>IFERROR(IF(ISBLANK(INDEX('Long_TCAD'!$J$2:$J$176,MATCH(B21,'Long_TCAD'!$A$2:$A$176,0))),"",INDEX('Long_TCAD'!$J$2:$J$176,MATCH(B21,'Long_TCAD'!$A$2:$A$176,0))),"")</x:f>
        <x:v>0.0003905</x:v>
      </x:c>
      <x:c r="AB21" s="96" t="n">
        <x:f>IFERROR(IF(ISBLANK(INDEX('Long_TCAD'!$K$2:$K$176,MATCH(B21,'Long_TCAD'!$A$2:$A$176,0))),"",INDEX('Long_TCAD'!$K$2:$K$176,MATCH(B21,'Long_TCAD'!$A$2:$A$176,0))),"")</x:f>
        <x:v>5.422e-11</x:v>
      </x:c>
      <x:c r="AC21" s="95" t="n">
        <x:f>IF(OR(NOT(ISNUMBER(AA21)),NOT(ISNUMBER(AB21))),"",AA21/AB21)</x:f>
        <x:v>7202139.431943932</x:v>
      </x:c>
      <x:c r="AD21" s="93" t="n">
        <x:f>IF(NOT(ISNUMBER(Y21)),"",ABS(Y21-T21)*1000)</x:f>
        <x:v>38.426666666668275</x:v>
      </x:c>
      <x:c r="AE21" s="93" t="n">
        <x:f>IF(NOT(ISNUMBER(Z21)),"",ABS(Z21-U21))</x:f>
        <x:v>7.457548153666096</x:v>
      </x:c>
      <x:c r="AF21" s="93" t="n">
        <x:f>IF(NOT(ISNUMBER(AA21)),"",ABS(LOG10(AA21)-LOG10(V21)))</x:f>
        <x:v>0.06819432469738995</x:v>
      </x:c>
      <x:c r="AG21" s="93" t="n">
        <x:f>IF(NOT(ISNUMBER(AB21)),"",ABS(LOG10(AB21)-LOG10(W21)))</x:f>
        <x:v>2.323242656835099</x:v>
      </x:c>
      <x:c r="AH21" s="93" t="n">
        <x:f>IF(NOT(ISNUMBER(AC21)),"",ABS(LOG10(AC21)-LOG10(X21)))</x:f>
        <x:v>2.255048332137659</x:v>
      </x:c>
      <x:c r="AI21" s="85" t="str">
        <x:f>IF(OR(NOT(ISNUMBER(Y21)),NOT(ISNUMBER(Z21)),NOT(ISNUMBER(AA21)),NOT(ISNUMBER(AB21))),"",IF(AND(Y21&gt;=0.3,Y21&lt;=1.2,Z21&lt;=200,AA21&gt;=1E-4,AB21&lt;=1E-6),"PASS","FAIL"))</x:f>
        <x:v>PASS</x:v>
      </x:c>
      <x:c r="AJ21" s="85" t="str"/>
    </x:row>
    <x:row r="22">
      <x:c r="A22" s="85" t="str">
        <x:v>L0180-21</x:v>
      </x:c>
      <x:c r="B22" s="85" t="str">
        <x:v>LR021</x:v>
      </x:c>
      <x:c r="C22" s="93" t="n">
        <x:v>0.18</x:v>
      </x:c>
      <x:c r="D22" s="93" t="str">
        <x:v>Practical</x:v>
      </x:c>
      <x:c r="E22" s="93" t="n">
        <x:v>1</x:v>
      </x:c>
      <x:c r="F22" s="94" t="n">
        <x:v>22307</x:v>
      </x:c>
      <x:c r="G22" s="93" t="n">
        <x:v>0.7391816550229554</x:v>
      </x:c>
      <x:c r="H22" s="93" t="n">
        <x:v>93.3478492697574</x:v>
      </x:c>
      <x:c r="I22" s="95" t="n">
        <x:v>0.00039980846112075603</x:v>
      </x:c>
      <x:c r="J22" s="95" t="n">
        <x:v>9.75533499470412e-13</x:v>
      </x:c>
      <x:c r="K22" s="95" t="n">
        <x:v>409835706.65466654</x:v>
      </x:c>
      <x:c r="L22" s="95" t="n">
        <x:v>5325638301760.56</x:v>
      </x:c>
      <x:c r="M22" s="95" t="n">
        <x:v>61.4497807089855</x:v>
      </x:c>
      <x:c r="N22" s="95" t="n">
        <x:v>2308095297383046</x:v>
      </x:c>
      <x:c r="O22" s="95" t="n">
        <x:v>11.82130211078234</x:v>
      </x:c>
      <x:c r="P22" s="93"/>
      <x:c r="Q22" s="95"/>
      <x:c r="R22" s="95"/>
      <x:c r="S22" s="97" t="n">
        <x:v>0.9966666666666667</x:v>
      </x:c>
      <x:c r="T22" s="93" t="n">
        <x:v>0.7384466666666692</x:v>
      </x:c>
      <x:c r="U22" s="98" t="n">
        <x:v>90.12406558143434</x:v>
      </x:c>
      <x:c r="V22" s="95" t="n">
        <x:v>0.00037271584529086473</x:v>
      </x:c>
      <x:c r="W22" s="95" t="n">
        <x:v>8.704398230086222e-13</x:v>
      </x:c>
      <x:c r="X22" s="95" t="n">
        <x:v>428192547.53602046</x:v>
      </x:c>
      <x:c r="Y22" s="99" t="n">
        <x:f>IFERROR(IF(ISBLANK(INDEX('Long_TCAD'!$H$2:$H$176,MATCH(B22,'Long_TCAD'!$A$2:$A$176,0))),"",INDEX('Long_TCAD'!$H$2:$H$176,MATCH(B22,'Long_TCAD'!$A$2:$A$176,0))),"")</x:f>
        <x:v>0.691</x:v>
      </x:c>
      <x:c r="Z22" s="100" t="n">
        <x:f>IFERROR(IF(ISBLANK(INDEX('Long_TCAD'!$I$2:$I$176,MATCH(B22,'Long_TCAD'!$A$2:$A$176,0))),"",INDEX('Long_TCAD'!$I$2:$I$176,MATCH(B22,'Long_TCAD'!$A$2:$A$176,0))),"")</x:f>
        <x:v>92.845</x:v>
      </x:c>
      <x:c r="AA22" s="96" t="n">
        <x:f>IFERROR(IF(ISBLANK(INDEX('Long_TCAD'!$J$2:$J$176,MATCH(B22,'Long_TCAD'!$A$2:$A$176,0))),"",INDEX('Long_TCAD'!$J$2:$J$176,MATCH(B22,'Long_TCAD'!$A$2:$A$176,0))),"")</x:f>
        <x:v>0.0003955</x:v>
      </x:c>
      <x:c r="AB22" s="96" t="n">
        <x:f>IFERROR(IF(ISBLANK(INDEX('Long_TCAD'!$K$2:$K$176,MATCH(B22,'Long_TCAD'!$A$2:$A$176,0))),"",INDEX('Long_TCAD'!$K$2:$K$176,MATCH(B22,'Long_TCAD'!$A$2:$A$176,0))),"")</x:f>
        <x:v>1.292e-11</x:v>
      </x:c>
      <x:c r="AC22" s="95" t="n">
        <x:f>IF(OR(NOT(ISNUMBER(AA22)),NOT(ISNUMBER(AB22))),"",AA22/AB22)</x:f>
        <x:v>30611455.108359132</x:v>
      </x:c>
      <x:c r="AD22" s="93" t="n">
        <x:f>IF(NOT(ISNUMBER(Y22)),"",ABS(Y22-T22)*1000)</x:f>
        <x:v>47.4466666666693</x:v>
      </x:c>
      <x:c r="AE22" s="93" t="n">
        <x:f>IF(NOT(ISNUMBER(Z22)),"",ABS(Z22-U22))</x:f>
        <x:v>2.720934418565662</x:v>
      </x:c>
      <x:c r="AF22" s="93" t="n">
        <x:f>IF(NOT(ISNUMBER(AA22)),"",ABS(LOG10(AA22)-LOG10(V22)))</x:f>
        <x:v>0.025768631500290073</x:v>
      </x:c>
      <x:c r="AG22" s="93" t="n">
        <x:f>IF(NOT(ISNUMBER(AB22)),"",ABS(LOG10(AB22)-LOG10(W22)))</x:f>
        <x:v>1.171523761685</x:v>
      </x:c>
      <x:c r="AH22" s="93" t="n">
        <x:f>IF(NOT(ISNUMBER(AC22)),"",ABS(LOG10(AC22)-LOG10(X22)))</x:f>
        <x:v>1.1457551301846607</x:v>
      </x:c>
      <x:c r="AI22" s="85" t="str">
        <x:f>IF(OR(NOT(ISNUMBER(Y22)),NOT(ISNUMBER(Z22)),NOT(ISNUMBER(AA22)),NOT(ISNUMBER(AB22))),"",IF(AND(Y22&gt;=0.3,Y22&lt;=1.2,Z22&lt;=200,AA22&gt;=1E-4,AB22&lt;=1E-6),"PASS","FAIL"))</x:f>
        <x:v>PASS</x:v>
      </x:c>
      <x:c r="AJ22" s="85" t="str"/>
    </x:row>
    <x:row r="23">
      <x:c r="A23" s="85" t="str">
        <x:v>L0180-22</x:v>
      </x:c>
      <x:c r="B23" s="85" t="str">
        <x:v>LR022</x:v>
      </x:c>
      <x:c r="C23" s="93" t="n">
        <x:v>0.18</x:v>
      </x:c>
      <x:c r="D23" s="93" t="str">
        <x:v>Practical</x:v>
      </x:c>
      <x:c r="E23" s="93" t="n">
        <x:v>1</x:v>
      </x:c>
      <x:c r="F23" s="94" t="n">
        <x:v>26963</x:v>
      </x:c>
      <x:c r="G23" s="93" t="n">
        <x:v>0.7505213509880041</x:v>
      </x:c>
      <x:c r="H23" s="93" t="n">
        <x:v>97.06453936150028</x:v>
      </x:c>
      <x:c r="I23" s="95" t="n">
        <x:v>0.00038984701953668544</x:v>
      </x:c>
      <x:c r="J23" s="95" t="n">
        <x:v>5.409248276667482e-12</x:v>
      </x:c>
      <x:c r="K23" s="95" t="n">
        <x:v>72070461.47581556</x:v>
      </x:c>
      <x:c r="L23" s="95" t="n">
        <x:v>876257276701871.4</x:v>
      </x:c>
      <x:c r="M23" s="95" t="n">
        <x:v>10.537189880082805</x:v>
      </x:c>
      <x:c r="N23" s="95" t="n">
        <x:v>5482793718434988</x:v>
      </x:c>
      <x:c r="O23" s="95" t="n">
        <x:v>10.634973397669402</x:v>
      </x:c>
      <x:c r="P23" s="93"/>
      <x:c r="Q23" s="95"/>
      <x:c r="R23" s="95"/>
      <x:c r="S23" s="97" t="n">
        <x:v>0.9966666666666667</x:v>
      </x:c>
      <x:c r="T23" s="93" t="n">
        <x:v>0.7480099999999986</x:v>
      </x:c>
      <x:c r="U23" s="98" t="n">
        <x:v>96.41917393383905</x:v>
      </x:c>
      <x:c r="V23" s="95" t="n">
        <x:v>0.00039850660271800953</x:v>
      </x:c>
      <x:c r="W23" s="95" t="n">
        <x:v>5.521011254405039e-12</x:v>
      </x:c>
      <x:c r="X23" s="95" t="n">
        <x:v>72180001.87919447</x:v>
      </x:c>
      <x:c r="Y23" s="99" t="n">
        <x:f>IFERROR(IF(ISBLANK(INDEX('Long_TCAD'!$H$2:$H$176,MATCH(B23,'Long_TCAD'!$A$2:$A$176,0))),"",INDEX('Long_TCAD'!$H$2:$H$176,MATCH(B23,'Long_TCAD'!$A$2:$A$176,0))),"")</x:f>
        <x:v>0.74</x:v>
      </x:c>
      <x:c r="Z23" s="100" t="n">
        <x:f>IFERROR(IF(ISBLANK(INDEX('Long_TCAD'!$I$2:$I$176,MATCH(B23,'Long_TCAD'!$A$2:$A$176,0))),"",INDEX('Long_TCAD'!$I$2:$I$176,MATCH(B23,'Long_TCAD'!$A$2:$A$176,0))),"")</x:f>
        <x:v>96.65</x:v>
      </x:c>
      <x:c r="AA23" s="96" t="n">
        <x:f>IFERROR(IF(ISBLANK(INDEX('Long_TCAD'!$J$2:$J$176,MATCH(B23,'Long_TCAD'!$A$2:$A$176,0))),"",INDEX('Long_TCAD'!$J$2:$J$176,MATCH(B23,'Long_TCAD'!$A$2:$A$176,0))),"")</x:f>
        <x:v>0.0004028</x:v>
      </x:c>
      <x:c r="AB23" s="96" t="n">
        <x:f>IFERROR(IF(ISBLANK(INDEX('Long_TCAD'!$K$2:$K$176,MATCH(B23,'Long_TCAD'!$A$2:$A$176,0))),"",INDEX('Long_TCAD'!$K$2:$K$176,MATCH(B23,'Long_TCAD'!$A$2:$A$176,0))),"")</x:f>
        <x:v>9.542e-12</x:v>
      </x:c>
      <x:c r="AC23" s="95" t="n">
        <x:f>IF(OR(NOT(ISNUMBER(AA23)),NOT(ISNUMBER(AB23))),"",AA23/AB23)</x:f>
        <x:v>42213372.45860407</x:v>
      </x:c>
      <x:c r="AD23" s="93" t="n">
        <x:f>IF(NOT(ISNUMBER(Y23)),"",ABS(Y23-T23)*1000)</x:f>
        <x:v>8.00999999999863</x:v>
      </x:c>
      <x:c r="AE23" s="93" t="n">
        <x:f>IF(NOT(ISNUMBER(Z23)),"",ABS(Z23-U23))</x:f>
        <x:v>0.23082606616095802</x:v>
      </x:c>
      <x:c r="AF23" s="93" t="n">
        <x:f>IF(NOT(ISNUMBER(AA23)),"",ABS(LOG10(AA23)-LOG10(V23)))</x:f>
        <x:v>0.004653940414840019</x:v>
      </x:c>
      <x:c r="AG23" s="93" t="n">
        <x:f>IF(NOT(ISNUMBER(AB23)),"",ABS(LOG10(AB23)-LOG10(W23)))</x:f>
        <x:v>0.2376207797864005</x:v>
      </x:c>
      <x:c r="AH23" s="93" t="n">
        <x:f>IF(NOT(ISNUMBER(AC23)),"",ABS(LOG10(AC23)-LOG10(X23)))</x:f>
        <x:v>0.2329668393716</x:v>
      </x:c>
      <x:c r="AI23" s="85" t="str">
        <x:f>IF(OR(NOT(ISNUMBER(Y23)),NOT(ISNUMBER(Z23)),NOT(ISNUMBER(AA23)),NOT(ISNUMBER(AB23))),"",IF(AND(Y23&gt;=0.3,Y23&lt;=1.2,Z23&lt;=200,AA23&gt;=1E-4,AB23&lt;=1E-6),"PASS","FAIL"))</x:f>
        <x:v>PASS</x:v>
      </x:c>
      <x:c r="AJ23" s="85" t="str"/>
    </x:row>
    <x:row r="24">
      <x:c r="A24" s="85" t="str">
        <x:v>L0180-23</x:v>
      </x:c>
      <x:c r="B24" s="85" t="str">
        <x:v>LR023</x:v>
      </x:c>
      <x:c r="C24" s="93" t="n">
        <x:v>0.18</x:v>
      </x:c>
      <x:c r="D24" s="93" t="str">
        <x:v>Practical</x:v>
      </x:c>
      <x:c r="E24" s="93" t="n">
        <x:v>1</x:v>
      </x:c>
      <x:c r="F24" s="94" t="n">
        <x:v>14295</x:v>
      </x:c>
      <x:c r="G24" s="93" t="n">
        <x:v>0.7270413168543673</x:v>
      </x:c>
      <x:c r="H24" s="93" t="n">
        <x:v>84.963</x:v>
      </x:c>
      <x:c r="I24" s="95" t="n">
        <x:v>0.0003671975107374259</x:v>
      </x:c>
      <x:c r="J24" s="95" t="n">
        <x:v>2.4808970281727976e-13</x:v>
      </x:c>
      <x:c r="K24" s="95" t="n">
        <x:v>1480099764.5914795</x:v>
      </x:c>
      <x:c r="L24" s="95" t="n">
        <x:v>670242787044.1863</x:v>
      </x:c>
      <x:c r="M24" s="95" t="n">
        <x:v>38.95991633863636</x:v>
      </x:c>
      <x:c r="N24" s="95" t="n">
        <x:v>531630402867753.2</x:v>
      </x:c>
      <x:c r="O24" s="95" t="n">
        <x:v>27.840431185534523</x:v>
      </x:c>
      <x:c r="P24" s="93"/>
      <x:c r="Q24" s="95"/>
      <x:c r="R24" s="95"/>
      <x:c r="S24" s="97" t="n">
        <x:v>1</x:v>
      </x:c>
      <x:c r="T24" s="93" t="n">
        <x:v>0.717239999999998</x:v>
      </x:c>
      <x:c r="U24" s="98" t="n">
        <x:v>85.9415470583464</x:v>
      </x:c>
      <x:c r="V24" s="95" t="n">
        <x:v>0.00033468016411724406</x:v>
      </x:c>
      <x:c r="W24" s="95" t="n">
        <x:v>2.4238797743199787e-13</x:v>
      </x:c>
      <x:c r="X24" s="95" t="n">
        <x:v>1380762229.4762487</x:v>
      </x:c>
      <x:c r="Y24" s="99" t="n">
        <x:f>IFERROR(IF(ISBLANK(INDEX('Long_TCAD'!$H$2:$H$176,MATCH(B24,'Long_TCAD'!$A$2:$A$176,0))),"",INDEX('Long_TCAD'!$H$2:$H$176,MATCH(B24,'Long_TCAD'!$A$2:$A$176,0))),"")</x:f>
        <x:v>0.669</x:v>
      </x:c>
      <x:c r="Z24" s="100" t="n">
        <x:f>IFERROR(IF(ISBLANK(INDEX('Long_TCAD'!$I$2:$I$176,MATCH(B24,'Long_TCAD'!$A$2:$A$176,0))),"",INDEX('Long_TCAD'!$I$2:$I$176,MATCH(B24,'Long_TCAD'!$A$2:$A$176,0))),"")</x:f>
        <x:v>94.461</x:v>
      </x:c>
      <x:c r="AA24" s="96" t="n">
        <x:f>IFERROR(IF(ISBLANK(INDEX('Long_TCAD'!$J$2:$J$176,MATCH(B24,'Long_TCAD'!$A$2:$A$176,0))),"",INDEX('Long_TCAD'!$J$2:$J$176,MATCH(B24,'Long_TCAD'!$A$2:$A$176,0))),"")</x:f>
        <x:v>0.0003946</x:v>
      </x:c>
      <x:c r="AB24" s="96" t="n">
        <x:f>IFERROR(IF(ISBLANK(INDEX('Long_TCAD'!$K$2:$K$176,MATCH(B24,'Long_TCAD'!$A$2:$A$176,0))),"",INDEX('Long_TCAD'!$K$2:$K$176,MATCH(B24,'Long_TCAD'!$A$2:$A$176,0))),"")</x:f>
        <x:v>9.609e-11</x:v>
      </x:c>
      <x:c r="AC24" s="95" t="n">
        <x:f>IF(OR(NOT(ISNUMBER(AA24)),NOT(ISNUMBER(AB24))),"",AA24/AB24)</x:f>
        <x:v>4106566.760328858</x:v>
      </x:c>
      <x:c r="AD24" s="93" t="n">
        <x:f>IF(NOT(ISNUMBER(Y24)),"",ABS(Y24-T24)*1000)</x:f>
        <x:v>48.23999999999795</x:v>
      </x:c>
      <x:c r="AE24" s="93" t="n">
        <x:f>IF(NOT(ISNUMBER(Z24)),"",ABS(Z24-U24))</x:f>
        <x:v>8.519452941653597</x:v>
      </x:c>
      <x:c r="AF24" s="93" t="n">
        <x:f>IF(NOT(ISNUMBER(AA24)),"",ABS(LOG10(AA24)-LOG10(V24)))</x:f>
        <x:v>0.07152710763728987</x:v>
      </x:c>
      <x:c r="AG24" s="93" t="n">
        <x:f>IF(NOT(ISNUMBER(AB24)),"",ABS(LOG10(AB24)-LOG10(W24)))</x:f>
        <x:v>2.598167118584099</x:v>
      </x:c>
      <x:c r="AH24" s="93" t="n">
        <x:f>IF(NOT(ISNUMBER(AC24)),"",ABS(LOG10(AC24)-LOG10(X24)))</x:f>
        <x:v>2.5266400109467906</x:v>
      </x:c>
      <x:c r="AI24" s="85" t="str">
        <x:f>IF(OR(NOT(ISNUMBER(Y24)),NOT(ISNUMBER(Z24)),NOT(ISNUMBER(AA24)),NOT(ISNUMBER(AB24))),"",IF(AND(Y24&gt;=0.3,Y24&lt;=1.2,Z24&lt;=200,AA24&gt;=1E-4,AB24&lt;=1E-6),"PASS","FAIL"))</x:f>
        <x:v>PASS</x:v>
      </x:c>
      <x:c r="AJ24" s="85" t="str"/>
    </x:row>
    <x:row r="25">
      <x:c r="A25" s="85" t="str">
        <x:v>L0180-24</x:v>
      </x:c>
      <x:c r="B25" s="85" t="str">
        <x:v>LR024</x:v>
      </x:c>
      <x:c r="C25" s="93" t="n">
        <x:v>0.18</x:v>
      </x:c>
      <x:c r="D25" s="93" t="str">
        <x:v>Practical</x:v>
      </x:c>
      <x:c r="E25" s="93" t="n">
        <x:v>1</x:v>
      </x:c>
      <x:c r="F25" s="94" t="n">
        <x:v>16784</x:v>
      </x:c>
      <x:c r="G25" s="93" t="n">
        <x:v>0.7526410096930422</x:v>
      </x:c>
      <x:c r="H25" s="93" t="n">
        <x:v>95.82493778598337</x:v>
      </x:c>
      <x:c r="I25" s="95" t="n">
        <x:v>0.00034417749963805487</x:v>
      </x:c>
      <x:c r="J25" s="95" t="n">
        <x:v>8.215848382684784e-13</x:v>
      </x:c>
      <x:c r="K25" s="95" t="n">
        <x:v>418919000.9438613</x:v>
      </x:c>
      <x:c r="L25" s="95" t="n">
        <x:v>316558508201035.8</x:v>
      </x:c>
      <x:c r="M25" s="95" t="n">
        <x:v>13.791333020899138</x:v>
      </x:c>
      <x:c r="N25" s="95" t="n">
        <x:v>344284428321302.5</x:v>
      </x:c>
      <x:c r="O25" s="95" t="n">
        <x:v>17.780599241145396</x:v>
      </x:c>
      <x:c r="P25" s="93"/>
      <x:c r="Q25" s="95"/>
      <x:c r="R25" s="95"/>
      <x:c r="S25" s="97" t="n">
        <x:v>0.9966666666666667</x:v>
      </x:c>
      <x:c r="T25" s="93" t="n">
        <x:v>0.761456666666669</x:v>
      </x:c>
      <x:c r="U25" s="98" t="n">
        <x:v>93.38761760607271</x:v>
      </x:c>
      <x:c r="V25" s="95" t="n">
        <x:v>0.0003732597346744393</x:v>
      </x:c>
      <x:c r="W25" s="95" t="n">
        <x:v>8.121469199364711e-13</x:v>
      </x:c>
      <x:c r="X25" s="95" t="n">
        <x:v>459596318.7345917</x:v>
      </x:c>
      <x:c r="Y25" s="99" t="n">
        <x:f>IFERROR(IF(ISBLANK(INDEX('Long_TCAD'!$H$2:$H$176,MATCH(B25,'Long_TCAD'!$A$2:$A$176,0))),"",INDEX('Long_TCAD'!$H$2:$H$176,MATCH(B25,'Long_TCAD'!$A$2:$A$176,0))),"")</x:f>
        <x:v>0.748</x:v>
      </x:c>
      <x:c r="Z25" s="100" t="n">
        <x:f>IFERROR(IF(ISBLANK(INDEX('Long_TCAD'!$I$2:$I$176,MATCH(B25,'Long_TCAD'!$A$2:$A$176,0))),"",INDEX('Long_TCAD'!$I$2:$I$176,MATCH(B25,'Long_TCAD'!$A$2:$A$176,0))),"")</x:f>
        <x:v>95.556</x:v>
      </x:c>
      <x:c r="AA25" s="96" t="n">
        <x:f>IFERROR(IF(ISBLANK(INDEX('Long_TCAD'!$J$2:$J$176,MATCH(B25,'Long_TCAD'!$A$2:$A$176,0))),"",INDEX('Long_TCAD'!$J$2:$J$176,MATCH(B25,'Long_TCAD'!$A$2:$A$176,0))),"")</x:f>
        <x:v>0.000393</x:v>
      </x:c>
      <x:c r="AB25" s="96" t="n">
        <x:f>IFERROR(IF(ISBLANK(INDEX('Long_TCAD'!$K$2:$K$176,MATCH(B25,'Long_TCAD'!$A$2:$A$176,0))),"",INDEX('Long_TCAD'!$K$2:$K$176,MATCH(B25,'Long_TCAD'!$A$2:$A$176,0))),"")</x:f>
        <x:v>4.32e-12</x:v>
      </x:c>
      <x:c r="AC25" s="95" t="n">
        <x:f>IF(OR(NOT(ISNUMBER(AA25)),NOT(ISNUMBER(AB25))),"",AA25/AB25)</x:f>
        <x:v>90972222.22222222</x:v>
      </x:c>
      <x:c r="AD25" s="93" t="n">
        <x:f>IF(NOT(ISNUMBER(Y25)),"",ABS(Y25-T25)*1000)</x:f>
        <x:v>13.456666666669005</x:v>
      </x:c>
      <x:c r="AE25" s="93" t="n">
        <x:f>IF(NOT(ISNUMBER(Z25)),"",ABS(Z25-U25))</x:f>
        <x:v>2.1683823939272884</x:v>
      </x:c>
      <x:c r="AF25" s="93" t="n">
        <x:f>IF(NOT(ISNUMBER(AA25)),"",ABS(LOG10(AA25)-LOG10(V25)))</x:f>
        <x:v>0.022381407360120065</x:v>
      </x:c>
      <x:c r="AG25" s="93" t="n">
        <x:f>IF(NOT(ISNUMBER(AB25)),"",ABS(LOG10(AB25)-LOG10(W25)))</x:f>
        <x:v>0.7258491452265012</x:v>
      </x:c>
      <x:c r="AH25" s="93" t="n">
        <x:f>IF(NOT(ISNUMBER(AC25)),"",ABS(LOG10(AC25)-LOG10(X25)))</x:f>
        <x:v>0.7034677378664096</x:v>
      </x:c>
      <x:c r="AI25" s="85" t="str">
        <x:f>IF(OR(NOT(ISNUMBER(Y25)),NOT(ISNUMBER(Z25)),NOT(ISNUMBER(AA25)),NOT(ISNUMBER(AB25))),"",IF(AND(Y25&gt;=0.3,Y25&lt;=1.2,Z25&lt;=200,AA25&gt;=1E-4,AB25&lt;=1E-6),"PASS","FAIL"))</x:f>
        <x:v>PASS</x:v>
      </x:c>
      <x:c r="AJ25" s="85" t="str"/>
    </x:row>
    <x:row r="26">
      <x:c r="A26" s="85" t="str">
        <x:v>L0180-25</x:v>
      </x:c>
      <x:c r="B26" s="85" t="str">
        <x:v>LR025</x:v>
      </x:c>
      <x:c r="C26" s="93" t="n">
        <x:v>0.18</x:v>
      </x:c>
      <x:c r="D26" s="93" t="str">
        <x:v>Practical</x:v>
      </x:c>
      <x:c r="E26" s="93" t="n">
        <x:v>1</x:v>
      </x:c>
      <x:c r="F26" s="94" t="n">
        <x:v>26710</x:v>
      </x:c>
      <x:c r="G26" s="93" t="n">
        <x:v>0.7161314737656024</x:v>
      </x:c>
      <x:c r="H26" s="93" t="n">
        <x:v>89.53283790036032</x:v>
      </x:c>
      <x:c r="I26" s="95" t="n">
        <x:v>0.000406</x:v>
      </x:c>
      <x:c r="J26" s="95" t="n">
        <x:v>5.722600509764584e-12</x:v>
      </x:c>
      <x:c r="K26" s="95" t="n">
        <x:v>70946766.12621035</x:v>
      </x:c>
      <x:c r="L26" s="95" t="n">
        <x:v>5106875543521.052</x:v>
      </x:c>
      <x:c r="M26" s="95" t="n">
        <x:v>62.11021454269449</x:v>
      </x:c>
      <x:c r="N26" s="95" t="n">
        <x:v>569161264710163.9</x:v>
      </x:c>
      <x:c r="O26" s="95" t="n">
        <x:v>20.272474991297024</x:v>
      </x:c>
      <x:c r="P26" s="93"/>
      <x:c r="Q26" s="95"/>
      <x:c r="R26" s="95"/>
      <x:c r="S26" s="97" t="n">
        <x:v>1</x:v>
      </x:c>
      <x:c r="T26" s="93" t="n">
        <x:v>0.7107266666666646</x:v>
      </x:c>
      <x:c r="U26" s="98" t="n">
        <x:v>91.44563218120584</x:v>
      </x:c>
      <x:c r="V26" s="95" t="n">
        <x:v>0.00038379292746574547</x:v>
      </x:c>
      <x:c r="W26" s="95" t="n">
        <x:v>5.717803445917925e-12</x:v>
      </x:c>
      <x:c r="X26" s="95" t="n">
        <x:v>67122441.52774161</x:v>
      </x:c>
      <x:c r="Y26" s="99" t="n">
        <x:f>IFERROR(IF(ISBLANK(INDEX('Long_TCAD'!$H$2:$H$176,MATCH(B26,'Long_TCAD'!$A$2:$A$176,0))),"",INDEX('Long_TCAD'!$H$2:$H$176,MATCH(B26,'Long_TCAD'!$A$2:$A$176,0))),"")</x:f>
        <x:v>0.68</x:v>
      </x:c>
      <x:c r="Z26" s="100" t="n">
        <x:f>IFERROR(IF(ISBLANK(INDEX('Long_TCAD'!$I$2:$I$176,MATCH(B26,'Long_TCAD'!$A$2:$A$176,0))),"",INDEX('Long_TCAD'!$I$2:$I$176,MATCH(B26,'Long_TCAD'!$A$2:$A$176,0))),"")</x:f>
        <x:v>90.485</x:v>
      </x:c>
      <x:c r="AA26" s="96" t="n">
        <x:f>IFERROR(IF(ISBLANK(INDEX('Long_TCAD'!$J$2:$J$176,MATCH(B26,'Long_TCAD'!$A$2:$A$176,0))),"",INDEX('Long_TCAD'!$J$2:$J$176,MATCH(B26,'Long_TCAD'!$A$2:$A$176,0))),"")</x:f>
        <x:v>0.0003823</x:v>
      </x:c>
      <x:c r="AB26" s="96" t="n">
        <x:f>IFERROR(IF(ISBLANK(INDEX('Long_TCAD'!$K$2:$K$176,MATCH(B26,'Long_TCAD'!$A$2:$A$176,0))),"",INDEX('Long_TCAD'!$K$2:$K$176,MATCH(B26,'Long_TCAD'!$A$2:$A$176,0))),"")</x:f>
        <x:v>8.005e-12</x:v>
      </x:c>
      <x:c r="AC26" s="95" t="n">
        <x:f>IF(OR(NOT(ISNUMBER(AA26)),NOT(ISNUMBER(AB26))),"",AA26/AB26)</x:f>
        <x:v>47757651.4678326</x:v>
      </x:c>
      <x:c r="AD26" s="93" t="n">
        <x:f>IF(NOT(ISNUMBER(Y26)),"",ABS(Y26-T26)*1000)</x:f>
        <x:v>30.72666666666457</x:v>
      </x:c>
      <x:c r="AE26" s="93" t="n">
        <x:f>IF(NOT(ISNUMBER(Z26)),"",ABS(Z26-U26))</x:f>
        <x:v>0.9606321812058383</x:v>
      </x:c>
      <x:c r="AF26" s="93" t="n">
        <x:f>IF(NOT(ISNUMBER(AA26)),"",ABS(LOG10(AA26)-LOG10(V26)))</x:f>
        <x:v>0.001692669277500336</x:v>
      </x:c>
      <x:c r="AG26" s="93" t="n">
        <x:f>IF(NOT(ISNUMBER(AB26)),"",ABS(LOG10(AB26)-LOG10(W26)))</x:f>
        <x:v>0.14613211419809957</x:v>
      </x:c>
      <x:c r="AH26" s="93" t="n">
        <x:f>IF(NOT(ISNUMBER(AC26)),"",ABS(LOG10(AC26)-LOG10(X26)))</x:f>
        <x:v>0.1478247834755999</x:v>
      </x:c>
      <x:c r="AI26" s="85" t="str">
        <x:f>IF(OR(NOT(ISNUMBER(Y26)),NOT(ISNUMBER(Z26)),NOT(ISNUMBER(AA26)),NOT(ISNUMBER(AB26))),"",IF(AND(Y26&gt;=0.3,Y26&lt;=1.2,Z26&lt;=200,AA26&gt;=1E-4,AB26&lt;=1E-6),"PASS","FAIL"))</x:f>
        <x:v>PASS</x:v>
      </x:c>
      <x:c r="AJ26" s="85" t="str"/>
    </x:row>
    <x:row r="27">
      <x:c r="A27" s="85" t="str">
        <x:v>L0180-26</x:v>
      </x:c>
      <x:c r="B27" s="85" t="str">
        <x:v>LR026</x:v>
      </x:c>
      <x:c r="C27" s="93" t="n">
        <x:v>0.18</x:v>
      </x:c>
      <x:c r="D27" s="93" t="str">
        <x:v>Practical</x:v>
      </x:c>
      <x:c r="E27" s="93" t="n">
        <x:v>1</x:v>
      </x:c>
      <x:c r="F27" s="94" t="n">
        <x:v>22544</x:v>
      </x:c>
      <x:c r="G27" s="93" t="n">
        <x:v>0.7254592872265095</x:v>
      </x:c>
      <x:c r="H27" s="93" t="n">
        <x:v>92.39917403734528</x:v>
      </x:c>
      <x:c r="I27" s="95" t="n">
        <x:v>0.000295</x:v>
      </x:c>
      <x:c r="J27" s="95" t="n">
        <x:v>1.8354841971250596e-12</x:v>
      </x:c>
      <x:c r="K27" s="95" t="n">
        <x:v>160720533.83083436</x:v>
      </x:c>
      <x:c r="L27" s="95" t="n">
        <x:v>53588334374411.78</x:v>
      </x:c>
      <x:c r="M27" s="95" t="n">
        <x:v>11.22588417061313</x:v>
      </x:c>
      <x:c r="N27" s="95" t="n">
        <x:v>442337981613852.06</x:v>
      </x:c>
      <x:c r="O27" s="95" t="n">
        <x:v>25.481143155556662</x:v>
      </x:c>
      <x:c r="P27" s="93"/>
      <x:c r="Q27" s="95"/>
      <x:c r="R27" s="95"/>
      <x:c r="S27" s="97" t="n">
        <x:v>0.99</x:v>
      </x:c>
      <x:c r="T27" s="93" t="n">
        <x:v>0.7263933333333317</x:v>
      </x:c>
      <x:c r="U27" s="98" t="n">
        <x:v>91.35737178846071</x:v>
      </x:c>
      <x:c r="V27" s="95" t="n">
        <x:v>0.000361950286748543</x:v>
      </x:c>
      <x:c r="W27" s="95" t="n">
        <x:v>1.858907920586654e-12</x:v>
      </x:c>
      <x:c r="X27" s="95" t="n">
        <x:v>194711251.02006927</x:v>
      </x:c>
      <x:c r="Y27" s="99" t="n">
        <x:f>IFERROR(IF(ISBLANK(INDEX('Long_TCAD'!$H$2:$H$176,MATCH(B27,'Long_TCAD'!$A$2:$A$176,0))),"",INDEX('Long_TCAD'!$H$2:$H$176,MATCH(B27,'Long_TCAD'!$A$2:$A$176,0))),"")</x:f>
        <x:v>0.726</x:v>
      </x:c>
      <x:c r="Z27" s="100" t="n">
        <x:f>IFERROR(IF(ISBLANK(INDEX('Long_TCAD'!$I$2:$I$176,MATCH(B27,'Long_TCAD'!$A$2:$A$176,0))),"",INDEX('Long_TCAD'!$I$2:$I$176,MATCH(B27,'Long_TCAD'!$A$2:$A$176,0))),"")</x:f>
        <x:v>93.559</x:v>
      </x:c>
      <x:c r="AA27" s="96" t="n">
        <x:f>IFERROR(IF(ISBLANK(INDEX('Long_TCAD'!$J$2:$J$176,MATCH(B27,'Long_TCAD'!$A$2:$A$176,0))),"",INDEX('Long_TCAD'!$J$2:$J$176,MATCH(B27,'Long_TCAD'!$A$2:$A$176,0))),"")</x:f>
        <x:v>0.0003883</x:v>
      </x:c>
      <x:c r="AB27" s="96" t="n">
        <x:f>IFERROR(IF(ISBLANK(INDEX('Long_TCAD'!$K$2:$K$176,MATCH(B27,'Long_TCAD'!$A$2:$A$176,0))),"",INDEX('Long_TCAD'!$K$2:$K$176,MATCH(B27,'Long_TCAD'!$A$2:$A$176,0))),"")</x:f>
        <x:v>5.669e-12</x:v>
      </x:c>
      <x:c r="AC27" s="95" t="n">
        <x:f>IF(OR(NOT(ISNUMBER(AA27)),NOT(ISNUMBER(AB27))),"",AA27/AB27)</x:f>
        <x:v>68495325.45422474</x:v>
      </x:c>
      <x:c r="AD27" s="93" t="n">
        <x:f>IF(NOT(ISNUMBER(Y27)),"",ABS(Y27-T27)*1000)</x:f>
        <x:v>0.3933333333316913</x:v>
      </x:c>
      <x:c r="AE27" s="93" t="n">
        <x:f>IF(NOT(ISNUMBER(Z27)),"",ABS(Z27-U27))</x:f>
        <x:v>2.201628211539287</x:v>
      </x:c>
      <x:c r="AF27" s="93" t="n">
        <x:f>IF(NOT(ISNUMBER(AA27)),"",ABS(LOG10(AA27)-LOG10(V27)))</x:f>
        <x:v>0.030518465519529858</x:v>
      </x:c>
      <x:c r="AG27" s="93" t="n">
        <x:f>IF(NOT(ISNUMBER(AB27)),"",ABS(LOG10(AB27)-LOG10(W27)))</x:f>
        <x:v>0.4842485790918989</x:v>
      </x:c>
      <x:c r="AH27" s="93" t="n">
        <x:f>IF(NOT(ISNUMBER(AC27)),"",ABS(LOG10(AC27)-LOG10(X27)))</x:f>
        <x:v>0.45373011357234017</x:v>
      </x:c>
      <x:c r="AI27" s="85" t="str">
        <x:f>IF(OR(NOT(ISNUMBER(Y27)),NOT(ISNUMBER(Z27)),NOT(ISNUMBER(AA27)),NOT(ISNUMBER(AB27))),"",IF(AND(Y27&gt;=0.3,Y27&lt;=1.2,Z27&lt;=200,AA27&gt;=1E-4,AB27&lt;=1E-6),"PASS","FAIL"))</x:f>
        <x:v>PASS</x:v>
      </x:c>
      <x:c r="AJ27" s="85" t="str"/>
    </x:row>
    <x:row r="28">
      <x:c r="A28" s="85" t="str">
        <x:v>L0180-27</x:v>
      </x:c>
      <x:c r="B28" s="85" t="str">
        <x:v>LR027</x:v>
      </x:c>
      <x:c r="C28" s="93" t="n">
        <x:v>0.18</x:v>
      </x:c>
      <x:c r="D28" s="93" t="str">
        <x:v>Practical</x:v>
      </x:c>
      <x:c r="E28" s="93" t="n">
        <x:v>1</x:v>
      </x:c>
      <x:c r="F28" s="94" t="n">
        <x:v>27220</x:v>
      </x:c>
      <x:c r="G28" s="93" t="n">
        <x:v>0.7046522851863668</x:v>
      </x:c>
      <x:c r="H28" s="93" t="n">
        <x:v>94.06492260968487</x:v>
      </x:c>
      <x:c r="I28" s="95" t="n">
        <x:v>0.000406</x:v>
      </x:c>
      <x:c r="J28" s="95" t="n">
        <x:v>4.8224809814833754e-12</x:v>
      </x:c>
      <x:c r="K28" s="95" t="n">
        <x:v>84189030.8243613</x:v>
      </x:c>
      <x:c r="L28" s="95" t="n">
        <x:v>51414156756203.11</x:v>
      </x:c>
      <x:c r="M28" s="95" t="n">
        <x:v>29.323318022740658</x:v>
      </x:c>
      <x:c r="N28" s="95" t="n">
        <x:v>4553201305265116</x:v>
      </x:c>
      <x:c r="O28" s="95" t="n">
        <x:v>10.32136300581547</x:v>
      </x:c>
      <x:c r="P28" s="93"/>
      <x:c r="Q28" s="95"/>
      <x:c r="R28" s="95"/>
      <x:c r="S28" s="97" t="n">
        <x:v>1</x:v>
      </x:c>
      <x:c r="T28" s="93" t="n">
        <x:v>0.7108233333333304</x:v>
      </x:c>
      <x:c r="U28" s="98" t="n">
        <x:v>93.04582624343803</x:v>
      </x:c>
      <x:c r="V28" s="95" t="n">
        <x:v>0.00038919379850289854</x:v>
      </x:c>
      <x:c r="W28" s="95" t="n">
        <x:v>4.771621976213939e-12</x:v>
      </x:c>
      <x:c r="X28" s="95" t="n">
        <x:v>81564256.44005139</x:v>
      </x:c>
      <x:c r="Y28" s="99" t="n">
        <x:f>IFERROR(IF(ISBLANK(INDEX('Long_TCAD'!$H$2:$H$176,MATCH(B28,'Long_TCAD'!$A$2:$A$176,0))),"",INDEX('Long_TCAD'!$H$2:$H$176,MATCH(B28,'Long_TCAD'!$A$2:$A$176,0))),"")</x:f>
        <x:v>0.708</x:v>
      </x:c>
      <x:c r="Z28" s="100" t="n">
        <x:f>IFERROR(IF(ISBLANK(INDEX('Long_TCAD'!$I$2:$I$176,MATCH(B28,'Long_TCAD'!$A$2:$A$176,0))),"",INDEX('Long_TCAD'!$I$2:$I$176,MATCH(B28,'Long_TCAD'!$A$2:$A$176,0))),"")</x:f>
        <x:v>95.788</x:v>
      </x:c>
      <x:c r="AA28" s="96" t="n">
        <x:f>IFERROR(IF(ISBLANK(INDEX('Long_TCAD'!$J$2:$J$176,MATCH(B28,'Long_TCAD'!$A$2:$A$176,0))),"",INDEX('Long_TCAD'!$J$2:$J$176,MATCH(B28,'Long_TCAD'!$A$2:$A$176,0))),"")</x:f>
        <x:v>0.0004004</x:v>
      </x:c>
      <x:c r="AB28" s="96" t="n">
        <x:f>IFERROR(IF(ISBLANK(INDEX('Long_TCAD'!$K$2:$K$176,MATCH(B28,'Long_TCAD'!$A$2:$A$176,0))),"",INDEX('Long_TCAD'!$K$2:$K$176,MATCH(B28,'Long_TCAD'!$A$2:$A$176,0))),"")</x:f>
        <x:v>1.788e-11</x:v>
      </x:c>
      <x:c r="AC28" s="95" t="n">
        <x:f>IF(OR(NOT(ISNUMBER(AA28)),NOT(ISNUMBER(AB28))),"",AA28/AB28)</x:f>
        <x:v>22393736.017897088</x:v>
      </x:c>
      <x:c r="AD28" s="93" t="n">
        <x:f>IF(NOT(ISNUMBER(Y28)),"",ABS(Y28-T28)*1000)</x:f>
        <x:v>2.8233333333304023</x:v>
      </x:c>
      <x:c r="AE28" s="93" t="n">
        <x:f>IF(NOT(ISNUMBER(Z28)),"",ABS(Z28-U28))</x:f>
        <x:v>2.742173756561968</x:v>
      </x:c>
      <x:c r="AF28" s="93" t="n">
        <x:f>IF(NOT(ISNUMBER(AA28)),"",ABS(LOG10(AA28)-LOG10(V28)))</x:f>
        <x:v>0.012328157296849884</x:v>
      </x:c>
      <x:c r="AG28" s="93" t="n">
        <x:f>IF(NOT(ISNUMBER(AB28)),"",ABS(LOG10(AB28)-LOG10(W28)))</x:f>
        <x:v>0.5737014843541992</x:v>
      </x:c>
      <x:c r="AH28" s="93" t="n">
        <x:f>IF(NOT(ISNUMBER(AC28)),"",ABS(LOG10(AC28)-LOG10(X28)))</x:f>
        <x:v>0.5613733270573098</x:v>
      </x:c>
      <x:c r="AI28" s="85" t="str">
        <x:f>IF(OR(NOT(ISNUMBER(Y28)),NOT(ISNUMBER(Z28)),NOT(ISNUMBER(AA28)),NOT(ISNUMBER(AB28))),"",IF(AND(Y28&gt;=0.3,Y28&lt;=1.2,Z28&lt;=200,AA28&gt;=1E-4,AB28&lt;=1E-6),"PASS","FAIL"))</x:f>
        <x:v>PASS</x:v>
      </x:c>
      <x:c r="AJ28" s="85" t="str"/>
    </x:row>
    <x:row r="29">
      <x:c r="A29" s="85" t="str">
        <x:v>L0180-28</x:v>
      </x:c>
      <x:c r="B29" s="85" t="str">
        <x:v>LR028</x:v>
      </x:c>
      <x:c r="C29" s="93" t="n">
        <x:v>0.18</x:v>
      </x:c>
      <x:c r="D29" s="93" t="str">
        <x:v>Practical</x:v>
      </x:c>
      <x:c r="E29" s="93" t="n">
        <x:v>1</x:v>
      </x:c>
      <x:c r="F29" s="94" t="n">
        <x:v>14331</x:v>
      </x:c>
      <x:c r="G29" s="93" t="n">
        <x:v>0.7367179370891234</x:v>
      </x:c>
      <x:c r="H29" s="93" t="n">
        <x:v>91.45205009303652</x:v>
      </x:c>
      <x:c r="I29" s="95" t="n">
        <x:v>0.0003468542158927738</x:v>
      </x:c>
      <x:c r="J29" s="95" t="n">
        <x:v>4.0912114847241696e-13</x:v>
      </x:c>
      <x:c r="K29" s="95" t="n">
        <x:v>847803192.7409853</x:v>
      </x:c>
      <x:c r="L29" s="95" t="n">
        <x:v>18166504135511.6</x:v>
      </x:c>
      <x:c r="M29" s="95" t="n">
        <x:v>13.167613177091159</x:v>
      </x:c>
      <x:c r="N29" s="95" t="n">
        <x:v>106466435445850.45</x:v>
      </x:c>
      <x:c r="O29" s="95" t="n">
        <x:v>24.83531923169365</x:v>
      </x:c>
      <x:c r="P29" s="93"/>
      <x:c r="Q29" s="95"/>
      <x:c r="R29" s="95"/>
      <x:c r="S29" s="97" t="n">
        <x:v>1</x:v>
      </x:c>
      <x:c r="T29" s="93" t="n">
        <x:v>0.7539566666666669</x:v>
      </x:c>
      <x:c r="U29" s="98" t="n">
        <x:v>90.59696776066292</x:v>
      </x:c>
      <x:c r="V29" s="95" t="n">
        <x:v>0.0003559649204785938</x:v>
      </x:c>
      <x:c r="W29" s="95" t="n">
        <x:v>4.1126829497584784e-13</x:v>
      </x:c>
      <x:c r="X29" s="95" t="n">
        <x:v>865529691.5107405</x:v>
      </x:c>
      <x:c r="Y29" s="99" t="n">
        <x:f>IFERROR(IF(ISBLANK(INDEX('Long_TCAD'!$H$2:$H$176,MATCH(B29,'Long_TCAD'!$A$2:$A$176,0))),"",INDEX('Long_TCAD'!$H$2:$H$176,MATCH(B29,'Long_TCAD'!$A$2:$A$176,0))),"")</x:f>
        <x:v>0.727</x:v>
      </x:c>
      <x:c r="Z29" s="100" t="n">
        <x:f>IFERROR(IF(ISBLANK(INDEX('Long_TCAD'!$I$2:$I$176,MATCH(B29,'Long_TCAD'!$A$2:$A$176,0))),"",INDEX('Long_TCAD'!$I$2:$I$176,MATCH(B29,'Long_TCAD'!$A$2:$A$176,0))),"")</x:f>
        <x:v>92.667</x:v>
      </x:c>
      <x:c r="AA29" s="96" t="n">
        <x:f>IFERROR(IF(ISBLANK(INDEX('Long_TCAD'!$J$2:$J$176,MATCH(B29,'Long_TCAD'!$A$2:$A$176,0))),"",INDEX('Long_TCAD'!$J$2:$J$176,MATCH(B29,'Long_TCAD'!$A$2:$A$176,0))),"")</x:f>
        <x:v>0.0003701</x:v>
      </x:c>
      <x:c r="AB29" s="96" t="n">
        <x:f>IFERROR(IF(ISBLANK(INDEX('Long_TCAD'!$K$2:$K$176,MATCH(B29,'Long_TCAD'!$A$2:$A$176,0))),"",INDEX('Long_TCAD'!$K$2:$K$176,MATCH(B29,'Long_TCAD'!$A$2:$A$176,0))),"")</x:f>
        <x:v>2.144e-12</x:v>
      </x:c>
      <x:c r="AC29" s="95" t="n">
        <x:f>IF(OR(NOT(ISNUMBER(AA29)),NOT(ISNUMBER(AB29))),"",AA29/AB29)</x:f>
        <x:v>172621268.6567164</x:v>
      </x:c>
      <x:c r="AD29" s="93" t="n">
        <x:f>IF(NOT(ISNUMBER(Y29)),"",ABS(Y29-T29)*1000)</x:f>
        <x:v>26.956666666666962</x:v>
      </x:c>
      <x:c r="AE29" s="93" t="n">
        <x:f>IF(NOT(ISNUMBER(Z29)),"",ABS(Z29-U29))</x:f>
        <x:v>2.070032239337081</x:v>
      </x:c>
      <x:c r="AF29" s="93" t="n">
        <x:f>IF(NOT(ISNUMBER(AA29)),"",ABS(LOG10(AA29)-LOG10(V29)))</x:f>
        <x:v>0.0169118837324298</x:v>
      </x:c>
      <x:c r="AG29" s="93" t="n">
        <x:f>IF(NOT(ISNUMBER(AB29)),"",ABS(LOG10(AB29)-LOG10(W29)))</x:f>
        <x:v>0.7170995503536997</x:v>
      </x:c>
      <x:c r="AH29" s="93" t="n">
        <x:f>IF(NOT(ISNUMBER(AC29)),"",ABS(LOG10(AC29)-LOG10(X29)))</x:f>
        <x:v>0.7001876666212592</x:v>
      </x:c>
      <x:c r="AI29" s="85" t="str">
        <x:f>IF(OR(NOT(ISNUMBER(Y29)),NOT(ISNUMBER(Z29)),NOT(ISNUMBER(AA29)),NOT(ISNUMBER(AB29))),"",IF(AND(Y29&gt;=0.3,Y29&lt;=1.2,Z29&lt;=200,AA29&gt;=1E-4,AB29&lt;=1E-6),"PASS","FAIL"))</x:f>
        <x:v>PASS</x:v>
      </x:c>
      <x:c r="AJ29" s="85" t="str"/>
    </x:row>
    <x:row r="30">
      <x:c r="A30" s="85" t="str">
        <x:v>L0180-29</x:v>
      </x:c>
      <x:c r="B30" s="85" t="str">
        <x:v>LR029</x:v>
      </x:c>
      <x:c r="C30" s="93" t="n">
        <x:v>0.18</x:v>
      </x:c>
      <x:c r="D30" s="93" t="str">
        <x:v>Practical</x:v>
      </x:c>
      <x:c r="E30" s="93" t="n">
        <x:v>1</x:v>
      </x:c>
      <x:c r="F30" s="94" t="n">
        <x:v>27841</x:v>
      </x:c>
      <x:c r="G30" s="93" t="n">
        <x:v>0.694643047793024</x:v>
      </x:c>
      <x:c r="H30" s="93" t="n">
        <x:v>98.394</x:v>
      </x:c>
      <x:c r="I30" s="95" t="n">
        <x:v>0.0004020242507435158</x:v>
      </x:c>
      <x:c r="J30" s="95" t="n">
        <x:v>2.1097147293662727e-12</x:v>
      </x:c>
      <x:c r="K30" s="95" t="n">
        <x:v>190558583.65470955</x:v>
      </x:c>
      <x:c r="L30" s="95" t="n">
        <x:v>7938150672689.898</x:v>
      </x:c>
      <x:c r="M30" s="95" t="n">
        <x:v>36.504648485260454</x:v>
      </x:c>
      <x:c r="N30" s="95" t="n">
        <x:v>158788607669390.28</x:v>
      </x:c>
      <x:c r="O30" s="95" t="n">
        <x:v>16.13361217954593</x:v>
      </x:c>
      <x:c r="P30" s="93"/>
      <x:c r="Q30" s="95"/>
      <x:c r="R30" s="95"/>
      <x:c r="S30" s="97" t="n">
        <x:v>1</x:v>
      </x:c>
      <x:c r="T30" s="93" t="n">
        <x:v>0.7046399999999984</x:v>
      </x:c>
      <x:c r="U30" s="98" t="n">
        <x:v>91.56420450963903</x:v>
      </x:c>
      <x:c r="V30" s="95" t="n">
        <x:v>0.00036587657272219747</x:v>
      </x:c>
      <x:c r="W30" s="95" t="n">
        <x:v>1.952283304050468e-12</x:v>
      </x:c>
      <x:c r="X30" s="95" t="n">
        <x:v>187409569.07386392</x:v>
      </x:c>
      <x:c r="Y30" s="99" t="n">
        <x:f>IFERROR(IF(ISBLANK(INDEX('Long_TCAD'!$H$2:$H$176,MATCH(B30,'Long_TCAD'!$A$2:$A$176,0))),"",INDEX('Long_TCAD'!$H$2:$H$176,MATCH(B30,'Long_TCAD'!$A$2:$A$176,0))),"")</x:f>
        <x:v>0.7</x:v>
      </x:c>
      <x:c r="Z30" s="100" t="n">
        <x:f>IFERROR(IF(ISBLANK(INDEX('Long_TCAD'!$I$2:$I$176,MATCH(B30,'Long_TCAD'!$A$2:$A$176,0))),"",INDEX('Long_TCAD'!$I$2:$I$176,MATCH(B30,'Long_TCAD'!$A$2:$A$176,0))),"")</x:f>
        <x:v>90.697</x:v>
      </x:c>
      <x:c r="AA30" s="96" t="n">
        <x:f>IFERROR(IF(ISBLANK(INDEX('Long_TCAD'!$J$2:$J$176,MATCH(B30,'Long_TCAD'!$A$2:$A$176,0))),"",INDEX('Long_TCAD'!$J$2:$J$176,MATCH(B30,'Long_TCAD'!$A$2:$A$176,0))),"")</x:f>
        <x:v>0.0003696</x:v>
      </x:c>
      <x:c r="AB30" s="96" t="n">
        <x:f>IFERROR(IF(ISBLANK(INDEX('Long_TCAD'!$K$2:$K$176,MATCH(B30,'Long_TCAD'!$A$2:$A$176,0))),"",INDEX('Long_TCAD'!$K$2:$K$176,MATCH(B30,'Long_TCAD'!$A$2:$A$176,0))),"")</x:f>
        <x:v>2.046e-12</x:v>
      </x:c>
      <x:c r="AC30" s="95" t="n">
        <x:f>IF(OR(NOT(ISNUMBER(AA30)),NOT(ISNUMBER(AB30))),"",AA30/AB30)</x:f>
        <x:v>180645161.29032257</x:v>
      </x:c>
      <x:c r="AD30" s="93" t="n">
        <x:f>IF(NOT(ISNUMBER(Y30)),"",ABS(Y30-T30)*1000)</x:f>
        <x:v>4.639999999998423</x:v>
      </x:c>
      <x:c r="AE30" s="93" t="n">
        <x:f>IF(NOT(ISNUMBER(Z30)),"",ABS(Z30-U30))</x:f>
        <x:v>0.8672045096390235</x:v>
      </x:c>
      <x:c r="AF30" s="93" t="n">
        <x:f>IF(NOT(ISNUMBER(AA30)),"",ABS(LOG10(AA30)-LOG10(V30)))</x:f>
        <x:v>0.004397360285299801</x:v>
      </x:c>
      <x:c r="AG30" s="93" t="n">
        <x:f>IF(NOT(ISNUMBER(AB30)),"",ABS(LOG10(AB30)-LOG10(W30)))</x:f>
        <x:v>0.020362789171398887</x:v>
      </x:c>
      <x:c r="AH30" s="93" t="n">
        <x:f>IF(NOT(ISNUMBER(AC30)),"",ABS(LOG10(AC30)-LOG10(X30)))</x:f>
        <x:v>0.01596542888611019</x:v>
      </x:c>
      <x:c r="AI30" s="85" t="str">
        <x:f>IF(OR(NOT(ISNUMBER(Y30)),NOT(ISNUMBER(Z30)),NOT(ISNUMBER(AA30)),NOT(ISNUMBER(AB30))),"",IF(AND(Y30&gt;=0.3,Y30&lt;=1.2,Z30&lt;=200,AA30&gt;=1E-4,AB30&lt;=1E-6),"PASS","FAIL"))</x:f>
        <x:v>PASS</x:v>
      </x:c>
      <x:c r="AJ30" s="85" t="str"/>
    </x:row>
    <x:row r="31">
      <x:c r="A31" s="85" t="str">
        <x:v>L0180-30</x:v>
      </x:c>
      <x:c r="B31" s="85" t="str">
        <x:v>LR030</x:v>
      </x:c>
      <x:c r="C31" s="93" t="n">
        <x:v>0.18</x:v>
      </x:c>
      <x:c r="D31" s="93" t="str">
        <x:v>Practical</x:v>
      </x:c>
      <x:c r="E31" s="93" t="n">
        <x:v>1</x:v>
      </x:c>
      <x:c r="F31" s="94" t="n">
        <x:v>19957</x:v>
      </x:c>
      <x:c r="G31" s="93" t="n">
        <x:v>0.7645135887195823</x:v>
      </x:c>
      <x:c r="H31" s="93" t="n">
        <x:v>98.26900612869369</x:v>
      </x:c>
      <x:c r="I31" s="95" t="n">
        <x:v>0.00035204784757228305</x:v>
      </x:c>
      <x:c r="J31" s="95" t="n">
        <x:v>9.367163826147686e-13</x:v>
      </x:c>
      <x:c r="K31" s="95" t="n">
        <x:v>375831846.3370628</x:v>
      </x:c>
      <x:c r="L31" s="95" t="n">
        <x:v>517510321028144</x:v>
      </x:c>
      <x:c r="M31" s="95" t="n">
        <x:v>13.152069189933009</x:v>
      </x:c>
      <x:c r="N31" s="95" t="n">
        <x:v>135576193540955.19</x:v>
      </x:c>
      <x:c r="O31" s="95" t="n">
        <x:v>24.846325836281565</x:v>
      </x:c>
      <x:c r="P31" s="93"/>
      <x:c r="Q31" s="95"/>
      <x:c r="R31" s="95"/>
      <x:c r="S31" s="97" t="n">
        <x:v>0.9966666666666667</x:v>
      </x:c>
      <x:c r="T31" s="93" t="n">
        <x:v>0.7624866666666694</x:v>
      </x:c>
      <x:c r="U31" s="98" t="n">
        <x:v>93.41868079324254</x:v>
      </x:c>
      <x:c r="V31" s="95" t="n">
        <x:v>0.0003748899908254587</x:v>
      </x:c>
      <x:c r="W31" s="95" t="n">
        <x:v>8.517774871831905e-13</x:v>
      </x:c>
      <x:c r="X31" s="95" t="n">
        <x:v>440126672.12561774</x:v>
      </x:c>
      <x:c r="Y31" s="99" t="n">
        <x:f>IFERROR(IF(ISBLANK(INDEX('Long_TCAD'!$H$2:$H$176,MATCH(B31,'Long_TCAD'!$A$2:$A$176,0))),"",INDEX('Long_TCAD'!$H$2:$H$176,MATCH(B31,'Long_TCAD'!$A$2:$A$176,0))),"")</x:f>
        <x:v>0.745</x:v>
      </x:c>
      <x:c r="Z31" s="100" t="n">
        <x:f>IFERROR(IF(ISBLANK(INDEX('Long_TCAD'!$I$2:$I$176,MATCH(B31,'Long_TCAD'!$A$2:$A$176,0))),"",INDEX('Long_TCAD'!$I$2:$I$176,MATCH(B31,'Long_TCAD'!$A$2:$A$176,0))),"")</x:f>
        <x:v>96.127</x:v>
      </x:c>
      <x:c r="AA31" s="96" t="n">
        <x:f>IFERROR(IF(ISBLANK(INDEX('Long_TCAD'!$J$2:$J$176,MATCH(B31,'Long_TCAD'!$A$2:$A$176,0))),"",INDEX('Long_TCAD'!$J$2:$J$176,MATCH(B31,'Long_TCAD'!$A$2:$A$176,0))),"")</x:f>
        <x:v>0.0003965</x:v>
      </x:c>
      <x:c r="AB31" s="96" t="n">
        <x:f>IFERROR(IF(ISBLANK(INDEX('Long_TCAD'!$K$2:$K$176,MATCH(B31,'Long_TCAD'!$A$2:$A$176,0))),"",INDEX('Long_TCAD'!$K$2:$K$176,MATCH(B31,'Long_TCAD'!$A$2:$A$176,0))),"")</x:f>
        <x:v>5.933e-12</x:v>
      </x:c>
      <x:c r="AC31" s="95" t="n">
        <x:f>IF(OR(NOT(ISNUMBER(AA31)),NOT(ISNUMBER(AB31))),"",AA31/AB31)</x:f>
        <x:v>66829597.168380246</x:v>
      </x:c>
      <x:c r="AD31" s="93" t="n">
        <x:f>IF(NOT(ISNUMBER(Y31)),"",ABS(Y31-T31)*1000)</x:f>
        <x:v>17.486666666669425</x:v>
      </x:c>
      <x:c r="AE31" s="93" t="n">
        <x:f>IF(NOT(ISNUMBER(Z31)),"",ABS(Z31-U31))</x:f>
        <x:v>2.7083192067574515</x:v>
      </x:c>
      <x:c r="AF31" s="93" t="n">
        <x:f>IF(NOT(ISNUMBER(AA31)),"",ABS(LOG10(AA31)-LOG10(V31)))</x:f>
        <x:v>0.024339346290220387</x:v>
      </x:c>
      <x:c r="AG31" s="93" t="n">
        <x:f>IF(NOT(ISNUMBER(AB31)),"",ABS(LOG10(AB31)-LOG10(W31)))</x:f>
        <x:v>0.8429481910235008</x:v>
      </x:c>
      <x:c r="AH31" s="93" t="n">
        <x:f>IF(NOT(ISNUMBER(AC31)),"",ABS(LOG10(AC31)-LOG10(X31)))</x:f>
        <x:v>0.8186088447332098</x:v>
      </x:c>
      <x:c r="AI31" s="85" t="str">
        <x:f>IF(OR(NOT(ISNUMBER(Y31)),NOT(ISNUMBER(Z31)),NOT(ISNUMBER(AA31)),NOT(ISNUMBER(AB31))),"",IF(AND(Y31&gt;=0.3,Y31&lt;=1.2,Z31&lt;=200,AA31&gt;=1E-4,AB31&lt;=1E-6),"PASS","FAIL"))</x:f>
        <x:v>PASS</x:v>
      </x:c>
      <x:c r="AJ31" s="85" t="str"/>
    </x:row>
    <x:row r="32">
      <x:c r="A32" s="85" t="str">
        <x:v>L0180-31</x:v>
      </x:c>
      <x:c r="B32" s="85" t="str">
        <x:v>LR031</x:v>
      </x:c>
      <x:c r="C32" s="93" t="n">
        <x:v>0.18</x:v>
      </x:c>
      <x:c r="D32" s="93" t="str">
        <x:v>Practical</x:v>
      </x:c>
      <x:c r="E32" s="93" t="n">
        <x:v>1</x:v>
      </x:c>
      <x:c r="F32" s="94" t="n">
        <x:v>31725</x:v>
      </x:c>
      <x:c r="G32" s="93" t="n">
        <x:v>0.7621479631330806</x:v>
      </x:c>
      <x:c r="H32" s="93" t="n">
        <x:v>89.29092158130518</x:v>
      </x:c>
      <x:c r="I32" s="95" t="n">
        <x:v>0.0003237630348466484</x:v>
      </x:c>
      <x:c r="J32" s="95" t="n">
        <x:v>2.308549397981647e-12</x:v>
      </x:c>
      <x:c r="K32" s="95" t="n">
        <x:v>140245227.21052137</x:v>
      </x:c>
      <x:c r="L32" s="95" t="n">
        <x:v>53593571490243.15</x:v>
      </x:c>
      <x:c r="M32" s="95" t="n">
        <x:v>14.31754387506533</x:v>
      </x:c>
      <x:c r="N32" s="95" t="n">
        <x:v>123545298841137.97</x:v>
      </x:c>
      <x:c r="O32" s="95" t="n">
        <x:v>34.69844322116498</x:v>
      </x:c>
      <x:c r="P32" s="93"/>
      <x:c r="Q32" s="95"/>
      <x:c r="R32" s="95"/>
      <x:c r="S32" s="97" t="n">
        <x:v>0.99</x:v>
      </x:c>
      <x:c r="T32" s="93" t="n">
        <x:v>0.7263933333333317</x:v>
      </x:c>
      <x:c r="U32" s="98" t="n">
        <x:v>91.35737178846071</x:v>
      </x:c>
      <x:c r="V32" s="95" t="n">
        <x:v>0.00036359691735155235</x:v>
      </x:c>
      <x:c r="W32" s="95" t="n">
        <x:v>2.025586579773867e-12</x:v>
      </x:c>
      <x:c r="X32" s="95" t="n">
        <x:v>179502037.08011517</x:v>
      </x:c>
      <x:c r="Y32" s="99" t="n">
        <x:f>IFERROR(IF(ISBLANK(INDEX('Long_TCAD'!$H$2:$H$176,MATCH(B32,'Long_TCAD'!$A$2:$A$176,0))),"",INDEX('Long_TCAD'!$H$2:$H$176,MATCH(B32,'Long_TCAD'!$A$2:$A$176,0))),"")</x:f>
        <x:v>0.712</x:v>
      </x:c>
      <x:c r="Z32" s="100" t="n">
        <x:f>IFERROR(IF(ISBLANK(INDEX('Long_TCAD'!$I$2:$I$176,MATCH(B32,'Long_TCAD'!$A$2:$A$176,0))),"",INDEX('Long_TCAD'!$I$2:$I$176,MATCH(B32,'Long_TCAD'!$A$2:$A$176,0))),"")</x:f>
        <x:v>94.17</x:v>
      </x:c>
      <x:c r="AA32" s="96" t="n">
        <x:f>IFERROR(IF(ISBLANK(INDEX('Long_TCAD'!$J$2:$J$176,MATCH(B32,'Long_TCAD'!$A$2:$A$176,0))),"",INDEX('Long_TCAD'!$J$2:$J$176,MATCH(B32,'Long_TCAD'!$A$2:$A$176,0))),"")</x:f>
        <x:v>0.0003869</x:v>
      </x:c>
      <x:c r="AB32" s="96" t="n">
        <x:f>IFERROR(IF(ISBLANK(INDEX('Long_TCAD'!$K$2:$K$176,MATCH(B32,'Long_TCAD'!$A$2:$A$176,0))),"",INDEX('Long_TCAD'!$K$2:$K$176,MATCH(B32,'Long_TCAD'!$A$2:$A$176,0))),"")</x:f>
        <x:v>9.645e-12</x:v>
      </x:c>
      <x:c r="AC32" s="95" t="n">
        <x:f>IF(OR(NOT(ISNUMBER(AA32)),NOT(ISNUMBER(AB32))),"",AA32/AB32)</x:f>
        <x:v>40114048.72991188</x:v>
      </x:c>
      <x:c r="AD32" s="93" t="n">
        <x:f>IF(NOT(ISNUMBER(Y32)),"",ABS(Y32-T32)*1000)</x:f>
        <x:v>14.393333333331704</x:v>
      </x:c>
      <x:c r="AE32" s="93" t="n">
        <x:f>IF(NOT(ISNUMBER(Z32)),"",ABS(Z32-U32))</x:f>
        <x:v>2.812628211539291</x:v>
      </x:c>
      <x:c r="AF32" s="93" t="n">
        <x:f>IF(NOT(ISNUMBER(AA32)),"",ABS(LOG10(AA32)-LOG10(V32)))</x:f>
        <x:v>0.026978537192460017</x:v>
      </x:c>
      <x:c r="AG32" s="93" t="n">
        <x:f>IF(NOT(ISNUMBER(AB32)),"",ABS(LOG10(AB32)-LOG10(W32)))</x:f>
        <x:v>0.6777514209874003</x:v>
      </x:c>
      <x:c r="AH32" s="93" t="n">
        <x:f>IF(NOT(ISNUMBER(AC32)),"",ABS(LOG10(AC32)-LOG10(X32)))</x:f>
        <x:v>0.6507728837949092</x:v>
      </x:c>
      <x:c r="AI32" s="85" t="str">
        <x:f>IF(OR(NOT(ISNUMBER(Y32)),NOT(ISNUMBER(Z32)),NOT(ISNUMBER(AA32)),NOT(ISNUMBER(AB32))),"",IF(AND(Y32&gt;=0.3,Y32&lt;=1.2,Z32&lt;=200,AA32&gt;=1E-4,AB32&lt;=1E-6),"PASS","FAIL"))</x:f>
        <x:v>PASS</x:v>
      </x:c>
      <x:c r="AJ32" s="85" t="str"/>
    </x:row>
    <x:row r="33">
      <x:c r="A33" s="85" t="str">
        <x:v>L0180-32</x:v>
      </x:c>
      <x:c r="B33" s="85" t="str">
        <x:v>LR025</x:v>
      </x:c>
      <x:c r="C33" s="93" t="n">
        <x:v>0.18</x:v>
      </x:c>
      <x:c r="D33" s="93" t="str">
        <x:v>Practical</x:v>
      </x:c>
      <x:c r="E33" s="93" t="n">
        <x:v>1</x:v>
      </x:c>
      <x:c r="F33" s="94" t="n">
        <x:v>27027</x:v>
      </x:c>
      <x:c r="G33" s="93" t="n">
        <x:v>0.7058642693693471</x:v>
      </x:c>
      <x:c r="H33" s="93" t="n">
        <x:v>88.31880611825123</x:v>
      </x:c>
      <x:c r="I33" s="95" t="n">
        <x:v>0.00030137706413877147</x:v>
      </x:c>
      <x:c r="J33" s="95" t="n">
        <x:v>5.938772465324119e-12</x:v>
      </x:c>
      <x:c r="K33" s="95" t="n">
        <x:v>50747366.715677544</x:v>
      </x:c>
      <x:c r="L33" s="95" t="n">
        <x:v>5106875543521.052</x:v>
      </x:c>
      <x:c r="M33" s="95" t="n">
        <x:v>62.11021454269449</x:v>
      </x:c>
      <x:c r="N33" s="95" t="n">
        <x:v>569161264710163.9</x:v>
      </x:c>
      <x:c r="O33" s="95" t="n">
        <x:v>20.272474991297024</x:v>
      </x:c>
      <x:c r="P33" s="93"/>
      <x:c r="Q33" s="95"/>
      <x:c r="R33" s="95"/>
      <x:c r="S33" s="97" t="n">
        <x:v>1</x:v>
      </x:c>
      <x:c r="T33" s="93" t="n">
        <x:v>0.7107266666666646</x:v>
      </x:c>
      <x:c r="U33" s="98" t="n">
        <x:v>91.44563218120584</x:v>
      </x:c>
      <x:c r="V33" s="95" t="n">
        <x:v>0.00038379292746574547</x:v>
      </x:c>
      <x:c r="W33" s="95" t="n">
        <x:v>5.717803445917925e-12</x:v>
      </x:c>
      <x:c r="X33" s="95" t="n">
        <x:v>67122441.52774161</x:v>
      </x:c>
      <x:c r="Y33" s="99" t="n">
        <x:f>IFERROR(IF(ISBLANK(INDEX('Long_TCAD'!$H$2:$H$176,MATCH(B33,'Long_TCAD'!$A$2:$A$176,0))),"",INDEX('Long_TCAD'!$H$2:$H$176,MATCH(B33,'Long_TCAD'!$A$2:$A$176,0))),"")</x:f>
        <x:v>0.68</x:v>
      </x:c>
      <x:c r="Z33" s="100" t="n">
        <x:f>IFERROR(IF(ISBLANK(INDEX('Long_TCAD'!$I$2:$I$176,MATCH(B33,'Long_TCAD'!$A$2:$A$176,0))),"",INDEX('Long_TCAD'!$I$2:$I$176,MATCH(B33,'Long_TCAD'!$A$2:$A$176,0))),"")</x:f>
        <x:v>90.485</x:v>
      </x:c>
      <x:c r="AA33" s="96" t="n">
        <x:f>IFERROR(IF(ISBLANK(INDEX('Long_TCAD'!$J$2:$J$176,MATCH(B33,'Long_TCAD'!$A$2:$A$176,0))),"",INDEX('Long_TCAD'!$J$2:$J$176,MATCH(B33,'Long_TCAD'!$A$2:$A$176,0))),"")</x:f>
        <x:v>0.0003823</x:v>
      </x:c>
      <x:c r="AB33" s="96" t="n">
        <x:f>IFERROR(IF(ISBLANK(INDEX('Long_TCAD'!$K$2:$K$176,MATCH(B33,'Long_TCAD'!$A$2:$A$176,0))),"",INDEX('Long_TCAD'!$K$2:$K$176,MATCH(B33,'Long_TCAD'!$A$2:$A$176,0))),"")</x:f>
        <x:v>8.005e-12</x:v>
      </x:c>
      <x:c r="AC33" s="95" t="n">
        <x:f>IF(OR(NOT(ISNUMBER(AA33)),NOT(ISNUMBER(AB33))),"",AA33/AB33)</x:f>
        <x:v>47757651.4678326</x:v>
      </x:c>
      <x:c r="AD33" s="93" t="n">
        <x:f>IF(NOT(ISNUMBER(Y33)),"",ABS(Y33-T33)*1000)</x:f>
        <x:v>30.72666666666457</x:v>
      </x:c>
      <x:c r="AE33" s="93" t="n">
        <x:f>IF(NOT(ISNUMBER(Z33)),"",ABS(Z33-U33))</x:f>
        <x:v>0.9606321812058383</x:v>
      </x:c>
      <x:c r="AF33" s="93" t="n">
        <x:f>IF(NOT(ISNUMBER(AA33)),"",ABS(LOG10(AA33)-LOG10(V33)))</x:f>
        <x:v>0.001692669277500336</x:v>
      </x:c>
      <x:c r="AG33" s="93" t="n">
        <x:f>IF(NOT(ISNUMBER(AB33)),"",ABS(LOG10(AB33)-LOG10(W33)))</x:f>
        <x:v>0.14613211419809957</x:v>
      </x:c>
      <x:c r="AH33" s="93" t="n">
        <x:f>IF(NOT(ISNUMBER(AC33)),"",ABS(LOG10(AC33)-LOG10(X33)))</x:f>
        <x:v>0.1478247834755999</x:v>
      </x:c>
      <x:c r="AI33" s="85" t="str">
        <x:f>IF(OR(NOT(ISNUMBER(Y33)),NOT(ISNUMBER(Z33)),NOT(ISNUMBER(AA33)),NOT(ISNUMBER(AB33))),"",IF(AND(Y33&gt;=0.3,Y33&lt;=1.2,Z33&lt;=200,AA33&gt;=1E-4,AB33&lt;=1E-6),"PASS","FAIL"))</x:f>
        <x:v>PASS</x:v>
      </x:c>
      <x:c r="AJ33" s="85" t="str"/>
    </x:row>
    <x:row r="34">
      <x:c r="A34" s="85" t="str">
        <x:v>L0180-33</x:v>
      </x:c>
      <x:c r="B34" s="85" t="str">
        <x:v>LR032</x:v>
      </x:c>
      <x:c r="C34" s="93" t="n">
        <x:v>0.18</x:v>
      </x:c>
      <x:c r="D34" s="93" t="str">
        <x:v>Practical</x:v>
      </x:c>
      <x:c r="E34" s="93" t="n">
        <x:v>1</x:v>
      </x:c>
      <x:c r="F34" s="94" t="n">
        <x:v>23661</x:v>
      </x:c>
      <x:c r="G34" s="93" t="n">
        <x:v>0.7202906531850936</x:v>
      </x:c>
      <x:c r="H34" s="93" t="n">
        <x:v>90.45757531384648</x:v>
      </x:c>
      <x:c r="I34" s="95" t="n">
        <x:v>0.0003412029948433363</x:v>
      </x:c>
      <x:c r="J34" s="95" t="n">
        <x:v>1.212890951094505e-12</x:v>
      </x:c>
      <x:c r="K34" s="95" t="n">
        <x:v>281313826.71742827</x:v>
      </x:c>
      <x:c r="L34" s="95" t="n">
        <x:v>53277459515696.41</x:v>
      </x:c>
      <x:c r="M34" s="95" t="n">
        <x:v>23.024379241245505</x:v>
      </x:c>
      <x:c r="N34" s="95" t="n">
        <x:v>309265794368803.25</x:v>
      </x:c>
      <x:c r="O34" s="95" t="n">
        <x:v>18.21600074751</x:v>
      </x:c>
      <x:c r="P34" s="93"/>
      <x:c r="Q34" s="95"/>
      <x:c r="R34" s="95"/>
      <x:c r="S34" s="97" t="n">
        <x:v>1</x:v>
      </x:c>
      <x:c r="T34" s="93" t="n">
        <x:v>0.7215700000000019</x:v>
      </x:c>
      <x:c r="U34" s="98" t="n">
        <x:v>91.39420487184681</x:v>
      </x:c>
      <x:c r="V34" s="95" t="n">
        <x:v>0.00036273062213167806</x:v>
      </x:c>
      <x:c r="W34" s="95" t="n">
        <x:v>1.1824597987809907e-12</x:v>
      </x:c>
      <x:c r="X34" s="95" t="n">
        <x:v>306759369.3296132</x:v>
      </x:c>
      <x:c r="Y34" s="99" t="n">
        <x:f>IFERROR(IF(ISBLANK(INDEX('Long_TCAD'!$H$2:$H$176,MATCH(B34,'Long_TCAD'!$A$2:$A$176,0))),"",INDEX('Long_TCAD'!$H$2:$H$176,MATCH(B34,'Long_TCAD'!$A$2:$A$176,0))),"")</x:f>
        <x:v>0.719</x:v>
      </x:c>
      <x:c r="Z34" s="100" t="n">
        <x:f>IFERROR(IF(ISBLANK(INDEX('Long_TCAD'!$I$2:$I$176,MATCH(B34,'Long_TCAD'!$A$2:$A$176,0))),"",INDEX('Long_TCAD'!$I$2:$I$176,MATCH(B34,'Long_TCAD'!$A$2:$A$176,0))),"")</x:f>
        <x:v>94.866</x:v>
      </x:c>
      <x:c r="AA34" s="96" t="n">
        <x:f>IFERROR(IF(ISBLANK(INDEX('Long_TCAD'!$J$2:$J$176,MATCH(B34,'Long_TCAD'!$A$2:$A$176,0))),"",INDEX('Long_TCAD'!$J$2:$J$176,MATCH(B34,'Long_TCAD'!$A$2:$A$176,0))),"")</x:f>
        <x:v>0.000388</x:v>
      </x:c>
      <x:c r="AB34" s="96" t="n">
        <x:f>IFERROR(IF(ISBLANK(INDEX('Long_TCAD'!$K$2:$K$176,MATCH(B34,'Long_TCAD'!$A$2:$A$176,0))),"",INDEX('Long_TCAD'!$K$2:$K$176,MATCH(B34,'Long_TCAD'!$A$2:$A$176,0))),"")</x:f>
        <x:v>6.679e-12</x:v>
      </x:c>
      <x:c r="AC34" s="95" t="n">
        <x:f>IF(OR(NOT(ISNUMBER(AA34)),NOT(ISNUMBER(AB34))),"",AA34/AB34)</x:f>
        <x:v>58092528.82167989</x:v>
      </x:c>
      <x:c r="AD34" s="93" t="n">
        <x:f>IF(NOT(ISNUMBER(Y34)),"",ABS(Y34-T34)*1000)</x:f>
        <x:v>2.5700000000019596</x:v>
      </x:c>
      <x:c r="AE34" s="93" t="n">
        <x:f>IF(NOT(ISNUMBER(Z34)),"",ABS(Z34-U34))</x:f>
        <x:v>3.4717951281531896</x:v>
      </x:c>
      <x:c r="AF34" s="93" t="n">
        <x:f>IF(NOT(ISNUMBER(AA34)),"",ABS(LOG10(AA34)-LOG10(V34)))</x:f>
        <x:v>0.02924750483198002</x:v>
      </x:c>
      <x:c r="AG34" s="93" t="n">
        <x:f>IF(NOT(ISNUMBER(AB34)),"",ABS(LOG10(AB34)-LOG10(W34)))</x:f>
        <x:v>0.7519250589296007</x:v>
      </x:c>
      <x:c r="AH34" s="93" t="n">
        <x:f>IF(NOT(ISNUMBER(AC34)),"",ABS(LOG10(AC34)-LOG10(X34)))</x:f>
        <x:v>0.7226775540976398</x:v>
      </x:c>
      <x:c r="AI34" s="85" t="str">
        <x:f>IF(OR(NOT(ISNUMBER(Y34)),NOT(ISNUMBER(Z34)),NOT(ISNUMBER(AA34)),NOT(ISNUMBER(AB34))),"",IF(AND(Y34&gt;=0.3,Y34&lt;=1.2,Z34&lt;=200,AA34&gt;=1E-4,AB34&lt;=1E-6),"PASS","FAIL"))</x:f>
        <x:v>PASS</x:v>
      </x:c>
      <x:c r="AJ34" s="85" t="str"/>
    </x:row>
    <x:row r="35">
      <x:c r="A35" s="85" t="str">
        <x:v>L0180-34</x:v>
      </x:c>
      <x:c r="B35" s="85" t="str">
        <x:v>LR033</x:v>
      </x:c>
      <x:c r="C35" s="93" t="n">
        <x:v>0.18</x:v>
      </x:c>
      <x:c r="D35" s="93" t="str">
        <x:v>Practical</x:v>
      </x:c>
      <x:c r="E35" s="93" t="n">
        <x:v>1</x:v>
      </x:c>
      <x:c r="F35" s="94" t="n">
        <x:v>16714</x:v>
      </x:c>
      <x:c r="G35" s="93" t="n">
        <x:v>0.7168491345846234</x:v>
      </x:c>
      <x:c r="H35" s="93" t="n">
        <x:v>98.394</x:v>
      </x:c>
      <x:c r="I35" s="95" t="n">
        <x:v>0.0003571530305471601</x:v>
      </x:c>
      <x:c r="J35" s="95" t="n">
        <x:v>1.6325062986822464e-11</x:v>
      </x:c>
      <x:c r="K35" s="95" t="n">
        <x:v>21877589.74256043</x:v>
      </x:c>
      <x:c r="L35" s="95" t="n">
        <x:v>522793496823672.4</x:v>
      </x:c>
      <x:c r="M35" s="95" t="n">
        <x:v>20.878255441302137</x:v>
      </x:c>
      <x:c r="N35" s="95" t="n">
        <x:v>1019749379310755</x:v>
      </x:c>
      <x:c r="O35" s="95" t="n">
        <x:v>12.696069674046145</x:v>
      </x:c>
      <x:c r="P35" s="93"/>
      <x:c r="Q35" s="95"/>
      <x:c r="R35" s="95"/>
      <x:c r="S35" s="97" t="n">
        <x:v>0.9966666666666667</x:v>
      </x:c>
      <x:c r="T35" s="93" t="n">
        <x:v>0.7186566666666637</x:v>
      </x:c>
      <x:c r="U35" s="98" t="n">
        <x:v>96.04701305404195</x:v>
      </x:c>
      <x:c r="V35" s="95" t="n">
        <x:v>0.00039937990651595513</x:v>
      </x:c>
      <x:c r="W35" s="95" t="n">
        <x:v>1.6434641690936368e-11</x:v>
      </x:c>
      <x:c r="X35" s="95" t="n">
        <x:v>24301102.14913973</x:v>
      </x:c>
      <x:c r="Y35" s="99" t="n">
        <x:f>IFERROR(IF(ISBLANK(INDEX('Long_TCAD'!$H$2:$H$176,MATCH(B35,'Long_TCAD'!$A$2:$A$176,0))),"",INDEX('Long_TCAD'!$H$2:$H$176,MATCH(B35,'Long_TCAD'!$A$2:$A$176,0))),"")</x:f>
        <x:v>0.71</x:v>
      </x:c>
      <x:c r="Z35" s="100" t="n">
        <x:f>IFERROR(IF(ISBLANK(INDEX('Long_TCAD'!$I$2:$I$176,MATCH(B35,'Long_TCAD'!$A$2:$A$176,0))),"",INDEX('Long_TCAD'!$I$2:$I$176,MATCH(B35,'Long_TCAD'!$A$2:$A$176,0))),"")</x:f>
        <x:v>99.865</x:v>
      </x:c>
      <x:c r="AA35" s="96" t="n">
        <x:f>IFERROR(IF(ISBLANK(INDEX('Long_TCAD'!$J$2:$J$176,MATCH(B35,'Long_TCAD'!$A$2:$A$176,0))),"",INDEX('Long_TCAD'!$J$2:$J$176,MATCH(B35,'Long_TCAD'!$A$2:$A$176,0))),"")</x:f>
        <x:v>0.0004145</x:v>
      </x:c>
      <x:c r="AB35" s="96" t="n">
        <x:f>IFERROR(IF(ISBLANK(INDEX('Long_TCAD'!$K$2:$K$176,MATCH(B35,'Long_TCAD'!$A$2:$A$176,0))),"",INDEX('Long_TCAD'!$K$2:$K$176,MATCH(B35,'Long_TCAD'!$A$2:$A$176,0))),"")</x:f>
        <x:v>5.644e-11</x:v>
      </x:c>
      <x:c r="AC35" s="95" t="n">
        <x:f>IF(OR(NOT(ISNUMBER(AA35)),NOT(ISNUMBER(AB35))),"",AA35/AB35)</x:f>
        <x:v>7344082.211197732</x:v>
      </x:c>
      <x:c r="AD35" s="93" t="n">
        <x:f>IF(NOT(ISNUMBER(Y35)),"",ABS(Y35-T35)*1000)</x:f>
        <x:v>8.65666666666376</x:v>
      </x:c>
      <x:c r="AE35" s="93" t="n">
        <x:f>IF(NOT(ISNUMBER(Z35)),"",ABS(Z35-U35))</x:f>
        <x:v>3.8179869459580402</x:v>
      </x:c>
      <x:c r="AF35" s="93" t="n">
        <x:f>IF(NOT(ISNUMBER(AA35)),"",ABS(LOG10(AA35)-LOG10(V35)))</x:f>
        <x:v>0.016138323897830098</x:v>
      </x:c>
      <x:c r="AG35" s="93" t="n">
        <x:f>IF(NOT(ISNUMBER(AB35)),"",ABS(LOG10(AB35)-LOG10(W35)))</x:f>
        <x:v>0.5358267650762993</x:v>
      </x:c>
      <x:c r="AH35" s="93" t="n">
        <x:f>IF(NOT(ISNUMBER(AC35)),"",ABS(LOG10(AC35)-LOG10(X35)))</x:f>
        <x:v>0.5196884411784897</x:v>
      </x:c>
      <x:c r="AI35" s="85" t="str">
        <x:f>IF(OR(NOT(ISNUMBER(Y35)),NOT(ISNUMBER(Z35)),NOT(ISNUMBER(AA35)),NOT(ISNUMBER(AB35))),"",IF(AND(Y35&gt;=0.3,Y35&lt;=1.2,Z35&lt;=200,AA35&gt;=1E-4,AB35&lt;=1E-6),"PASS","FAIL"))</x:f>
        <x:v>PASS</x:v>
      </x:c>
      <x:c r="AJ35" s="85" t="str"/>
    </x:row>
    <x:row r="36">
      <x:c r="A36" s="85" t="str">
        <x:v>L0180-35</x:v>
      </x:c>
      <x:c r="B36" s="85" t="str">
        <x:v>LR034</x:v>
      </x:c>
      <x:c r="C36" s="93" t="n">
        <x:v>0.18</x:v>
      </x:c>
      <x:c r="D36" s="93" t="str">
        <x:v>Practical</x:v>
      </x:c>
      <x:c r="E36" s="93" t="n">
        <x:v>1</x:v>
      </x:c>
      <x:c r="F36" s="94" t="n">
        <x:v>18732</x:v>
      </x:c>
      <x:c r="G36" s="93" t="n">
        <x:v>0.6996811441971174</x:v>
      </x:c>
      <x:c r="H36" s="93" t="n">
        <x:v>92.48887639525422</x:v>
      </x:c>
      <x:c r="I36" s="95" t="n">
        <x:v>0.00035341456030457886</x:v>
      </x:c>
      <x:c r="J36" s="95" t="n">
        <x:v>2.2062142835369683e-11</x:v>
      </x:c>
      <x:c r="K36" s="95" t="n">
        <x:v>16019049.597394055</x:v>
      </x:c>
      <x:c r="L36" s="95" t="n">
        <x:v>6806671312459.498</x:v>
      </x:c>
      <x:c r="M36" s="95" t="n">
        <x:v>53.87005334543433</x:v>
      </x:c>
      <x:c r="N36" s="95" t="n">
        <x:v>273210297417527.34</x:v>
      </x:c>
      <x:c r="O36" s="95" t="n">
        <x:v>18.12436448400135</x:v>
      </x:c>
      <x:c r="P36" s="93"/>
      <x:c r="Q36" s="95"/>
      <x:c r="R36" s="95"/>
      <x:c r="S36" s="97" t="n">
        <x:v>1</x:v>
      </x:c>
      <x:c r="T36" s="93" t="n">
        <x:v>0.6611400000000022</x:v>
      </x:c>
      <x:c r="U36" s="98" t="n">
        <x:v>93.2096590358698</x:v>
      </x:c>
      <x:c r="V36" s="95" t="n">
        <x:v>0.0003778638470886943</x:v>
      </x:c>
      <x:c r="W36" s="95" t="n">
        <x:v>2.2443523884013634e-11</x:v>
      </x:c>
      <x:c r="X36" s="95" t="n">
        <x:v>16836208.477842648</x:v>
      </x:c>
      <x:c r="Y36" s="99" t="n">
        <x:f>IFERROR(IF(ISBLANK(INDEX('Long_TCAD'!$H$2:$H$176,MATCH(B36,'Long_TCAD'!$A$2:$A$176,0))),"",INDEX('Long_TCAD'!$H$2:$H$176,MATCH(B36,'Long_TCAD'!$A$2:$A$176,0))),"")</x:f>
        <x:v>0.682</x:v>
      </x:c>
      <x:c r="Z36" s="100" t="n">
        <x:f>IFERROR(IF(ISBLANK(INDEX('Long_TCAD'!$I$2:$I$176,MATCH(B36,'Long_TCAD'!$A$2:$A$176,0))),"",INDEX('Long_TCAD'!$I$2:$I$176,MATCH(B36,'Long_TCAD'!$A$2:$A$176,0))),"")</x:f>
        <x:v>90.27</x:v>
      </x:c>
      <x:c r="AA36" s="96" t="n">
        <x:f>IFERROR(IF(ISBLANK(INDEX('Long_TCAD'!$J$2:$J$176,MATCH(B36,'Long_TCAD'!$A$2:$A$176,0))),"",INDEX('Long_TCAD'!$J$2:$J$176,MATCH(B36,'Long_TCAD'!$A$2:$A$176,0))),"")</x:f>
        <x:v>0.0003762</x:v>
      </x:c>
      <x:c r="AB36" s="96" t="n">
        <x:f>IFERROR(IF(ISBLANK(INDEX('Long_TCAD'!$K$2:$K$176,MATCH(B36,'Long_TCAD'!$A$2:$A$176,0))),"",INDEX('Long_TCAD'!$K$2:$K$176,MATCH(B36,'Long_TCAD'!$A$2:$A$176,0))),"")</x:f>
        <x:v>5.273e-12</x:v>
      </x:c>
      <x:c r="AC36" s="95" t="n">
        <x:f>IF(OR(NOT(ISNUMBER(AA36)),NOT(ISNUMBER(AB36))),"",AA36/AB36)</x:f>
        <x:v>71344585.62488148</x:v>
      </x:c>
      <x:c r="AD36" s="93" t="n">
        <x:f>IF(NOT(ISNUMBER(Y36)),"",ABS(Y36-T36)*1000)</x:f>
        <x:v>20.859999999997882</x:v>
      </x:c>
      <x:c r="AE36" s="93" t="n">
        <x:f>IF(NOT(ISNUMBER(Z36)),"",ABS(Z36-U36))</x:f>
        <x:v>2.939659035869809</x:v>
      </x:c>
      <x:c r="AF36" s="93" t="n">
        <x:f>IF(NOT(ISNUMBER(AA36)),"",ABS(LOG10(AA36)-LOG10(V36)))</x:f>
        <x:v>0.0019165506603799898</x:v>
      </x:c>
      <x:c r="AG36" s="93" t="n">
        <x:f>IF(NOT(ISNUMBER(AB36)),"",ABS(LOG10(AB36)-LOG10(W36)))</x:f>
        <x:v>0.6290332756924997</x:v>
      </x:c>
      <x:c r="AH36" s="93" t="n">
        <x:f>IF(NOT(ISNUMBER(AC36)),"",ABS(LOG10(AC36)-LOG10(X36)))</x:f>
        <x:v>0.6271167250321295</x:v>
      </x:c>
      <x:c r="AI36" s="85" t="str">
        <x:f>IF(OR(NOT(ISNUMBER(Y36)),NOT(ISNUMBER(Z36)),NOT(ISNUMBER(AA36)),NOT(ISNUMBER(AB36))),"",IF(AND(Y36&gt;=0.3,Y36&lt;=1.2,Z36&lt;=200,AA36&gt;=1E-4,AB36&lt;=1E-6),"PASS","FAIL"))</x:f>
        <x:v>PASS</x:v>
      </x:c>
      <x:c r="AJ36" s="85" t="str"/>
    </x:row>
    <x:row r="37">
      <x:c r="A37" s="85" t="str">
        <x:v>L0180-36</x:v>
      </x:c>
      <x:c r="B37" s="85" t="str">
        <x:v>LR035</x:v>
      </x:c>
      <x:c r="C37" s="93" t="n">
        <x:v>0.18</x:v>
      </x:c>
      <x:c r="D37" s="93" t="str">
        <x:v>Practical</x:v>
      </x:c>
      <x:c r="E37" s="93" t="n">
        <x:v>1</x:v>
      </x:c>
      <x:c r="F37" s="94" t="n">
        <x:v>22978</x:v>
      </x:c>
      <x:c r="G37" s="93" t="n">
        <x:v>0.7335345019574541</x:v>
      </x:c>
      <x:c r="H37" s="93" t="n">
        <x:v>93.67134703200371</x:v>
      </x:c>
      <x:c r="I37" s="95" t="n">
        <x:v>0.000295</x:v>
      </x:c>
      <x:c r="J37" s="95" t="n">
        <x:v>1.263843518261768e-12</x:v>
      </x:c>
      <x:c r="K37" s="95" t="n">
        <x:v>233414972.45302123</x:v>
      </x:c>
      <x:c r="L37" s="95" t="n">
        <x:v>22830220042561.914</x:v>
      </x:c>
      <x:c r="M37" s="95" t="n">
        <x:v>17.99694986398473</x:v>
      </x:c>
      <x:c r="N37" s="95" t="n">
        <x:v>100846265888351.38</x:v>
      </x:c>
      <x:c r="O37" s="95" t="n">
        <x:v>22.91658212861722</x:v>
      </x:c>
      <x:c r="P37" s="93"/>
      <x:c r="Q37" s="95"/>
      <x:c r="R37" s="95"/>
      <x:c r="S37" s="97" t="n">
        <x:v>1</x:v>
      </x:c>
      <x:c r="T37" s="93" t="n">
        <x:v>0.7219433333333353</x:v>
      </x:c>
      <x:c r="U37" s="98" t="n">
        <x:v>91.41505695519558</x:v>
      </x:c>
      <x:c r="V37" s="95" t="n">
        <x:v>0.00036370016873483904</x:v>
      </x:c>
      <x:c r="W37" s="95" t="n">
        <x:v>1.3114035147688888e-12</x:v>
      </x:c>
      <x:c r="X37" s="95" t="n">
        <x:v>277336582.24862593</x:v>
      </x:c>
      <x:c r="Y37" s="99" t="n">
        <x:f>IFERROR(IF(ISBLANK(INDEX('Long_TCAD'!$H$2:$H$176,MATCH(B37,'Long_TCAD'!$A$2:$A$176,0))),"",INDEX('Long_TCAD'!$H$2:$H$176,MATCH(B37,'Long_TCAD'!$A$2:$A$176,0))),"")</x:f>
        <x:v>0.728</x:v>
      </x:c>
      <x:c r="Z37" s="100" t="n">
        <x:f>IFERROR(IF(ISBLANK(INDEX('Long_TCAD'!$I$2:$I$176,MATCH(B37,'Long_TCAD'!$A$2:$A$176,0))),"",INDEX('Long_TCAD'!$I$2:$I$176,MATCH(B37,'Long_TCAD'!$A$2:$A$176,0))),"")</x:f>
        <x:v>91.576</x:v>
      </x:c>
      <x:c r="AA37" s="96" t="n">
        <x:f>IFERROR(IF(ISBLANK(INDEX('Long_TCAD'!$J$2:$J$176,MATCH(B37,'Long_TCAD'!$A$2:$A$176,0))),"",INDEX('Long_TCAD'!$J$2:$J$176,MATCH(B37,'Long_TCAD'!$A$2:$A$176,0))),"")</x:f>
        <x:v>0.0003684</x:v>
      </x:c>
      <x:c r="AB37" s="96" t="n">
        <x:f>IFERROR(IF(ISBLANK(INDEX('Long_TCAD'!$K$2:$K$176,MATCH(B37,'Long_TCAD'!$A$2:$A$176,0))),"",INDEX('Long_TCAD'!$K$2:$K$176,MATCH(B37,'Long_TCAD'!$A$2:$A$176,0))),"")</x:f>
        <x:v>1.709e-12</x:v>
      </x:c>
      <x:c r="AC37" s="95" t="n">
        <x:f>IF(OR(NOT(ISNUMBER(AA37)),NOT(ISNUMBER(AB37))),"",AA37/AB37)</x:f>
        <x:v>215564657.6945582</x:v>
      </x:c>
      <x:c r="AD37" s="93" t="n">
        <x:f>IF(NOT(ISNUMBER(Y37)),"",ABS(Y37-T37)*1000)</x:f>
        <x:v>6.056666666664712</x:v>
      </x:c>
      <x:c r="AE37" s="93" t="n">
        <x:f>IF(NOT(ISNUMBER(Z37)),"",ABS(Z37-U37))</x:f>
        <x:v>0.16094304480441224</x:v>
      </x:c>
      <x:c r="AF37" s="93" t="n">
        <x:f>IF(NOT(ISNUMBER(AA37)),"",ABS(LOG10(AA37)-LOG10(V37)))</x:f>
        <x:v>0.005576118983730005</x:v>
      </x:c>
      <x:c r="AG37" s="93" t="n">
        <x:f>IF(NOT(ISNUMBER(AB37)),"",ABS(LOG10(AB37)-LOG10(W37)))</x:f>
        <x:v>0.11500571941069992</x:v>
      </x:c>
      <x:c r="AH37" s="93" t="n">
        <x:f>IF(NOT(ISNUMBER(AC37)),"",ABS(LOG10(AC37)-LOG10(X37)))</x:f>
        <x:v>0.10942960042702943</x:v>
      </x:c>
      <x:c r="AI37" s="85" t="str">
        <x:f>IF(OR(NOT(ISNUMBER(Y37)),NOT(ISNUMBER(Z37)),NOT(ISNUMBER(AA37)),NOT(ISNUMBER(AB37))),"",IF(AND(Y37&gt;=0.3,Y37&lt;=1.2,Z37&lt;=200,AA37&gt;=1E-4,AB37&lt;=1E-6),"PASS","FAIL"))</x:f>
        <x:v>PASS</x:v>
      </x:c>
      <x:c r="AJ37" s="85" t="str"/>
    </x:row>
    <x:row r="38">
      <x:c r="A38" s="85" t="str">
        <x:v>L0180-37</x:v>
      </x:c>
      <x:c r="B38" s="85" t="str">
        <x:v>LR021</x:v>
      </x:c>
      <x:c r="C38" s="93" t="n">
        <x:v>0.18</x:v>
      </x:c>
      <x:c r="D38" s="93" t="str">
        <x:v>Practical</x:v>
      </x:c>
      <x:c r="E38" s="93" t="n">
        <x:v>1</x:v>
      </x:c>
      <x:c r="F38" s="94" t="n">
        <x:v>19675</x:v>
      </x:c>
      <x:c r="G38" s="93" t="n">
        <x:v>0.7091920052182283</x:v>
      </x:c>
      <x:c r="H38" s="93" t="n">
        <x:v>89.46713133572936</x:v>
      </x:c>
      <x:c r="I38" s="95" t="n">
        <x:v>0.00039209464875637046</x:v>
      </x:c>
      <x:c r="J38" s="95" t="n">
        <x:v>9.239277256584947e-13</x:v>
      </x:c>
      <x:c r="K38" s="95" t="n">
        <x:v>424378052.38166195</x:v>
      </x:c>
      <x:c r="L38" s="95" t="n">
        <x:v>5325638301760.56</x:v>
      </x:c>
      <x:c r="M38" s="95" t="n">
        <x:v>61.4497807089855</x:v>
      </x:c>
      <x:c r="N38" s="95" t="n">
        <x:v>2308095297383046</x:v>
      </x:c>
      <x:c r="O38" s="95" t="n">
        <x:v>11.82130211078234</x:v>
      </x:c>
      <x:c r="P38" s="93"/>
      <x:c r="Q38" s="95"/>
      <x:c r="R38" s="95"/>
      <x:c r="S38" s="97" t="n">
        <x:v>0.9966666666666667</x:v>
      </x:c>
      <x:c r="T38" s="93" t="n">
        <x:v>0.7384466666666692</x:v>
      </x:c>
      <x:c r="U38" s="98" t="n">
        <x:v>90.12406558143434</x:v>
      </x:c>
      <x:c r="V38" s="95" t="n">
        <x:v>0.00037271584529086473</x:v>
      </x:c>
      <x:c r="W38" s="95" t="n">
        <x:v>8.704398230086222e-13</x:v>
      </x:c>
      <x:c r="X38" s="95" t="n">
        <x:v>428192547.53602046</x:v>
      </x:c>
      <x:c r="Y38" s="99" t="n">
        <x:f>IFERROR(IF(ISBLANK(INDEX('Long_TCAD'!$H$2:$H$176,MATCH(B38,'Long_TCAD'!$A$2:$A$176,0))),"",INDEX('Long_TCAD'!$H$2:$H$176,MATCH(B38,'Long_TCAD'!$A$2:$A$176,0))),"")</x:f>
        <x:v>0.691</x:v>
      </x:c>
      <x:c r="Z38" s="100" t="n">
        <x:f>IFERROR(IF(ISBLANK(INDEX('Long_TCAD'!$I$2:$I$176,MATCH(B38,'Long_TCAD'!$A$2:$A$176,0))),"",INDEX('Long_TCAD'!$I$2:$I$176,MATCH(B38,'Long_TCAD'!$A$2:$A$176,0))),"")</x:f>
        <x:v>92.845</x:v>
      </x:c>
      <x:c r="AA38" s="96" t="n">
        <x:f>IFERROR(IF(ISBLANK(INDEX('Long_TCAD'!$J$2:$J$176,MATCH(B38,'Long_TCAD'!$A$2:$A$176,0))),"",INDEX('Long_TCAD'!$J$2:$J$176,MATCH(B38,'Long_TCAD'!$A$2:$A$176,0))),"")</x:f>
        <x:v>0.0003955</x:v>
      </x:c>
      <x:c r="AB38" s="96" t="n">
        <x:f>IFERROR(IF(ISBLANK(INDEX('Long_TCAD'!$K$2:$K$176,MATCH(B38,'Long_TCAD'!$A$2:$A$176,0))),"",INDEX('Long_TCAD'!$K$2:$K$176,MATCH(B38,'Long_TCAD'!$A$2:$A$176,0))),"")</x:f>
        <x:v>1.292e-11</x:v>
      </x:c>
      <x:c r="AC38" s="95" t="n">
        <x:f>IF(OR(NOT(ISNUMBER(AA38)),NOT(ISNUMBER(AB38))),"",AA38/AB38)</x:f>
        <x:v>30611455.108359132</x:v>
      </x:c>
      <x:c r="AD38" s="93" t="n">
        <x:f>IF(NOT(ISNUMBER(Y38)),"",ABS(Y38-T38)*1000)</x:f>
        <x:v>47.4466666666693</x:v>
      </x:c>
      <x:c r="AE38" s="93" t="n">
        <x:f>IF(NOT(ISNUMBER(Z38)),"",ABS(Z38-U38))</x:f>
        <x:v>2.720934418565662</x:v>
      </x:c>
      <x:c r="AF38" s="93" t="n">
        <x:f>IF(NOT(ISNUMBER(AA38)),"",ABS(LOG10(AA38)-LOG10(V38)))</x:f>
        <x:v>0.025768631500290073</x:v>
      </x:c>
      <x:c r="AG38" s="93" t="n">
        <x:f>IF(NOT(ISNUMBER(AB38)),"",ABS(LOG10(AB38)-LOG10(W38)))</x:f>
        <x:v>1.171523761685</x:v>
      </x:c>
      <x:c r="AH38" s="93" t="n">
        <x:f>IF(NOT(ISNUMBER(AC38)),"",ABS(LOG10(AC38)-LOG10(X38)))</x:f>
        <x:v>1.1457551301846607</x:v>
      </x:c>
      <x:c r="AI38" s="85" t="str">
        <x:f>IF(OR(NOT(ISNUMBER(Y38)),NOT(ISNUMBER(Z38)),NOT(ISNUMBER(AA38)),NOT(ISNUMBER(AB38))),"",IF(AND(Y38&gt;=0.3,Y38&lt;=1.2,Z38&lt;=200,AA38&gt;=1E-4,AB38&lt;=1E-6),"PASS","FAIL"))</x:f>
        <x:v>PASS</x:v>
      </x:c>
      <x:c r="AJ38" s="85" t="str"/>
    </x:row>
    <x:row r="39">
      <x:c r="A39" s="85" t="str">
        <x:v>L0180-38</x:v>
      </x:c>
      <x:c r="B39" s="85" t="str">
        <x:v>LR036</x:v>
      </x:c>
      <x:c r="C39" s="93" t="n">
        <x:v>0.18</x:v>
      </x:c>
      <x:c r="D39" s="93" t="str">
        <x:v>Practical</x:v>
      </x:c>
      <x:c r="E39" s="93" t="n">
        <x:v>1</x:v>
      </x:c>
      <x:c r="F39" s="94" t="n">
        <x:v>18030</x:v>
      </x:c>
      <x:c r="G39" s="93" t="n">
        <x:v>0.7108983256317342</x:v>
      </x:c>
      <x:c r="H39" s="93" t="n">
        <x:v>98.394</x:v>
      </x:c>
      <x:c r="I39" s="95" t="n">
        <x:v>0.0003576623003488457</x:v>
      </x:c>
      <x:c r="J39" s="95" t="n">
        <x:v>1.4180855557454325e-11</x:v>
      </x:c>
      <x:c r="K39" s="95" t="n">
        <x:v>25221489.556801565</x:v>
      </x:c>
      <x:c r="L39" s="95" t="n">
        <x:v>510336038312698.2</x:v>
      </x:c>
      <x:c r="M39" s="95" t="n">
        <x:v>15.24267174468364</x:v>
      </x:c>
      <x:c r="N39" s="95" t="n">
        <x:v>4608669388897236</x:v>
      </x:c>
      <x:c r="O39" s="95" t="n">
        <x:v>11.997004760059216</x:v>
      </x:c>
      <x:c r="P39" s="93"/>
      <x:c r="Q39" s="95"/>
      <x:c r="R39" s="95"/>
      <x:c r="S39" s="97" t="n">
        <x:v>1</x:v>
      </x:c>
      <x:c r="T39" s="93" t="n">
        <x:v>0.7205066666666654</x:v>
      </x:c>
      <x:c r="U39" s="98" t="n">
        <x:v>96.00371485072249</x:v>
      </x:c>
      <x:c r="V39" s="95" t="n">
        <x:v>0.0003988634456540142</x:v>
      </x:c>
      <x:c r="W39" s="95" t="n">
        <x:v>1.475448120419573e-11</x:v>
      </x:c>
      <x:c r="X39" s="95" t="n">
        <x:v>27033376.513475068</x:v>
      </x:c>
      <x:c r="Y39" s="99" t="n">
        <x:f>IFERROR(IF(ISBLANK(INDEX('Long_TCAD'!$H$2:$H$176,MATCH(B39,'Long_TCAD'!$A$2:$A$176,0))),"",INDEX('Long_TCAD'!$H$2:$H$176,MATCH(B39,'Long_TCAD'!$A$2:$A$176,0))),"")</x:f>
        <x:v>0.703</x:v>
      </x:c>
      <x:c r="Z39" s="100" t="n">
        <x:f>IFERROR(IF(ISBLANK(INDEX('Long_TCAD'!$I$2:$I$176,MATCH(B39,'Long_TCAD'!$A$2:$A$176,0))),"",INDEX('Long_TCAD'!$I$2:$I$176,MATCH(B39,'Long_TCAD'!$A$2:$A$176,0))),"")</x:f>
        <x:v>100.548</x:v>
      </x:c>
      <x:c r="AA39" s="96" t="n">
        <x:f>IFERROR(IF(ISBLANK(INDEX('Long_TCAD'!$J$2:$J$176,MATCH(B39,'Long_TCAD'!$A$2:$A$176,0))),"",INDEX('Long_TCAD'!$J$2:$J$176,MATCH(B39,'Long_TCAD'!$A$2:$A$176,0))),"")</x:f>
        <x:v>0.0004204</x:v>
      </x:c>
      <x:c r="AB39" s="96" t="n">
        <x:f>IFERROR(IF(ISBLANK(INDEX('Long_TCAD'!$K$2:$K$176,MATCH(B39,'Long_TCAD'!$A$2:$A$176,0))),"",INDEX('Long_TCAD'!$K$2:$K$176,MATCH(B39,'Long_TCAD'!$A$2:$A$176,0))),"")</x:f>
        <x:v>1.14e-10</x:v>
      </x:c>
      <x:c r="AC39" s="95" t="n">
        <x:f>IF(OR(NOT(ISNUMBER(AA39)),NOT(ISNUMBER(AB39))),"",AA39/AB39)</x:f>
        <x:v>3687719.298245614</x:v>
      </x:c>
      <x:c r="AD39" s="93" t="n">
        <x:f>IF(NOT(ISNUMBER(Y39)),"",ABS(Y39-T39)*1000)</x:f>
        <x:v>17.50666666666545</x:v>
      </x:c>
      <x:c r="AE39" s="93" t="n">
        <x:f>IF(NOT(ISNUMBER(Z39)),"",ABS(Z39-U39))</x:f>
        <x:v>4.544285149277513</x:v>
      </x:c>
      <x:c r="AF39" s="93" t="n">
        <x:f>IF(NOT(ISNUMBER(AA39)),"",ABS(LOG10(AA39)-LOG10(V39)))</x:f>
        <x:v>0.022838470690850432</x:v>
      </x:c>
      <x:c r="AG39" s="93" t="n">
        <x:f>IF(NOT(ISNUMBER(AB39)),"",ABS(LOG10(AB39)-LOG10(W39)))</x:f>
        <x:v>0.8879809078573686</x:v>
      </x:c>
      <x:c r="AH39" s="93" t="n">
        <x:f>IF(NOT(ISNUMBER(AC39)),"",ABS(LOG10(AC39)-LOG10(X39)))</x:f>
        <x:v>0.8651424371665506</x:v>
      </x:c>
      <x:c r="AI39" s="85" t="str">
        <x:f>IF(OR(NOT(ISNUMBER(Y39)),NOT(ISNUMBER(Z39)),NOT(ISNUMBER(AA39)),NOT(ISNUMBER(AB39))),"",IF(AND(Y39&gt;=0.3,Y39&lt;=1.2,Z39&lt;=200,AA39&gt;=1E-4,AB39&lt;=1E-6),"PASS","FAIL"))</x:f>
        <x:v>PASS</x:v>
      </x:c>
      <x:c r="AJ39" s="85" t="str"/>
    </x:row>
    <x:row r="40">
      <x:c r="A40" s="85" t="str">
        <x:v>L0180-39</x:v>
      </x:c>
      <x:c r="B40" s="85" t="str">
        <x:v>LR037</x:v>
      </x:c>
      <x:c r="C40" s="93" t="n">
        <x:v>0.18</x:v>
      </x:c>
      <x:c r="D40" s="93" t="str">
        <x:v>Practical</x:v>
      </x:c>
      <x:c r="E40" s="93" t="n">
        <x:v>1</x:v>
      </x:c>
      <x:c r="F40" s="94" t="n">
        <x:v>28135</x:v>
      </x:c>
      <x:c r="G40" s="93" t="n">
        <x:v>0.7493505831278404</x:v>
      </x:c>
      <x:c r="H40" s="93" t="n">
        <x:v>98.394</x:v>
      </x:c>
      <x:c r="I40" s="95" t="n">
        <x:v>0.0003753182412890287</x:v>
      </x:c>
      <x:c r="J40" s="95" t="n">
        <x:v>3.6050669544320494e-12</x:v>
      </x:c>
      <x:c r="K40" s="95" t="n">
        <x:v>104108535.57868448</x:v>
      </x:c>
      <x:c r="L40" s="95" t="n">
        <x:v>519286697586072.2</x:v>
      </x:c>
      <x:c r="M40" s="95" t="n">
        <x:v>14.838876923313745</x:v>
      </x:c>
      <x:c r="N40" s="95" t="n">
        <x:v>110302846131184.62</x:v>
      </x:c>
      <x:c r="O40" s="95" t="n">
        <x:v>31.325479563274207</x:v>
      </x:c>
      <x:c r="P40" s="93"/>
      <x:c r="Q40" s="95"/>
      <x:c r="R40" s="95"/>
      <x:c r="S40" s="97" t="n">
        <x:v>0.9966666666666667</x:v>
      </x:c>
      <x:c r="T40" s="93" t="n">
        <x:v>0.7379400000000006</x:v>
      </x:c>
      <x:c r="U40" s="98" t="n">
        <x:v>94.85191642265086</x:v>
      </x:c>
      <x:c r="V40" s="95" t="n">
        <x:v>0.00038513833365869387</x:v>
      </x:c>
      <x:c r="W40" s="95" t="n">
        <x:v>3.6176386803491944e-12</x:v>
      </x:c>
      <x:c r="X40" s="95" t="n">
        <x:v>106461249.36432795</x:v>
      </x:c>
      <x:c r="Y40" s="99" t="n">
        <x:f>IFERROR(IF(ISBLANK(INDEX('Long_TCAD'!$H$2:$H$176,MATCH(B40,'Long_TCAD'!$A$2:$A$176,0))),"",INDEX('Long_TCAD'!$H$2:$H$176,MATCH(B40,'Long_TCAD'!$A$2:$A$176,0))),"")</x:f>
        <x:v>0.73</x:v>
      </x:c>
      <x:c r="Z40" s="100" t="n">
        <x:f>IFERROR(IF(ISBLANK(INDEX('Long_TCAD'!$I$2:$I$176,MATCH(B40,'Long_TCAD'!$A$2:$A$176,0))),"",INDEX('Long_TCAD'!$I$2:$I$176,MATCH(B40,'Long_TCAD'!$A$2:$A$176,0))),"")</x:f>
        <x:v>97.351</x:v>
      </x:c>
      <x:c r="AA40" s="96" t="n">
        <x:f>IFERROR(IF(ISBLANK(INDEX('Long_TCAD'!$J$2:$J$176,MATCH(B40,'Long_TCAD'!$A$2:$A$176,0))),"",INDEX('Long_TCAD'!$J$2:$J$176,MATCH(B40,'Long_TCAD'!$A$2:$A$176,0))),"")</x:f>
        <x:v>0.0004044</x:v>
      </x:c>
      <x:c r="AB40" s="96" t="n">
        <x:f>IFERROR(IF(ISBLANK(INDEX('Long_TCAD'!$K$2:$K$176,MATCH(B40,'Long_TCAD'!$A$2:$A$176,0))),"",INDEX('Long_TCAD'!$K$2:$K$176,MATCH(B40,'Long_TCAD'!$A$2:$A$176,0))),"")</x:f>
        <x:v>1.644e-11</x:v>
      </x:c>
      <x:c r="AC40" s="95" t="n">
        <x:f>IF(OR(NOT(ISNUMBER(AA40)),NOT(ISNUMBER(AB40))),"",AA40/AB40)</x:f>
        <x:v>24598540.145985402</x:v>
      </x:c>
      <x:c r="AD40" s="93" t="n">
        <x:f>IF(NOT(ISNUMBER(Y40)),"",ABS(Y40-T40)*1000)</x:f>
        <x:v>7.940000000000613</x:v>
      </x:c>
      <x:c r="AE40" s="93" t="n">
        <x:f>IF(NOT(ISNUMBER(Z40)),"",ABS(Z40-U40))</x:f>
        <x:v>2.4990835773491398</x:v>
      </x:c>
      <x:c r="AF40" s="93" t="n">
        <x:f>IF(NOT(ISNUMBER(AA40)),"",ABS(LOG10(AA40)-LOG10(V40)))</x:f>
        <x:v>0.021194399867499936</x:v>
      </x:c>
      <x:c r="AG40" s="93" t="n">
        <x:f>IF(NOT(ISNUMBER(AB40)),"",ABS(LOG10(AB40)-LOG10(W40)))</x:f>
        <x:v>0.6574766246345014</x:v>
      </x:c>
      <x:c r="AH40" s="93" t="n">
        <x:f>IF(NOT(ISNUMBER(AC40)),"",ABS(LOG10(AC40)-LOG10(X40)))</x:f>
        <x:v>0.6362822247670206</x:v>
      </x:c>
      <x:c r="AI40" s="85" t="str">
        <x:f>IF(OR(NOT(ISNUMBER(Y40)),NOT(ISNUMBER(Z40)),NOT(ISNUMBER(AA40)),NOT(ISNUMBER(AB40))),"",IF(AND(Y40&gt;=0.3,Y40&lt;=1.2,Z40&lt;=200,AA40&gt;=1E-4,AB40&lt;=1E-6),"PASS","FAIL"))</x:f>
        <x:v>PASS</x:v>
      </x:c>
      <x:c r="AJ40" s="85" t="str"/>
    </x:row>
    <x:row r="41">
      <x:c r="A41" s="85" t="str">
        <x:v>L0180-40</x:v>
      </x:c>
      <x:c r="B41" s="85" t="str">
        <x:v>LR038</x:v>
      </x:c>
      <x:c r="C41" s="93" t="n">
        <x:v>0.18</x:v>
      </x:c>
      <x:c r="D41" s="93" t="str">
        <x:v>Practical</x:v>
      </x:c>
      <x:c r="E41" s="93" t="n">
        <x:v>1</x:v>
      </x:c>
      <x:c r="F41" s="94" t="n">
        <x:v>14273</x:v>
      </x:c>
      <x:c r="G41" s="93" t="n">
        <x:v>0.7217081448897126</x:v>
      </x:c>
      <x:c r="H41" s="93" t="n">
        <x:v>85.66983972831288</x:v>
      </x:c>
      <x:c r="I41" s="95" t="n">
        <x:v>0.0003396875538406621</x:v>
      </x:c>
      <x:c r="J41" s="95" t="n">
        <x:v>2.2509116576775979e-13</x:v>
      </x:c>
      <x:c r="K41" s="95" t="n">
        <x:v>1509110998.1239262</x:v>
      </x:c>
      <x:c r="L41" s="95" t="n">
        <x:v>3792544265630.4556</x:v>
      </x:c>
      <x:c r="M41" s="95" t="n">
        <x:v>14.14028624029399</x:v>
      </x:c>
      <x:c r="N41" s="95" t="n">
        <x:v>366310127318844.94</x:v>
      </x:c>
      <x:c r="O41" s="95" t="n">
        <x:v>34.04414085926969</x:v>
      </x:c>
      <x:c r="P41" s="93"/>
      <x:c r="Q41" s="95"/>
      <x:c r="R41" s="95"/>
      <x:c r="S41" s="97" t="n">
        <x:v>0.9966666666666667</x:v>
      </x:c>
      <x:c r="T41" s="93" t="n">
        <x:v>0.725123333333331</x:v>
      </x:c>
      <x:c r="U41" s="98" t="n">
        <x:v>86.27108980677183</x:v>
      </x:c>
      <x:c r="V41" s="95" t="n">
        <x:v>0.00033645637203969344</x:v>
      </x:c>
      <x:c r="W41" s="95" t="n">
        <x:v>2.265764475928042e-13</x:v>
      </x:c>
      <x:c r="X41" s="95" t="n">
        <x:v>1484957397.8861291</x:v>
      </x:c>
      <x:c r="Y41" s="99" t="n">
        <x:f>IFERROR(IF(ISBLANK(INDEX('Long_TCAD'!$H$2:$H$176,MATCH(B41,'Long_TCAD'!$A$2:$A$176,0))),"",INDEX('Long_TCAD'!$H$2:$H$176,MATCH(B41,'Long_TCAD'!$A$2:$A$176,0))),"")</x:f>
        <x:v>0.68</x:v>
      </x:c>
      <x:c r="Z41" s="100" t="n">
        <x:f>IFERROR(IF(ISBLANK(INDEX('Long_TCAD'!$I$2:$I$176,MATCH(B41,'Long_TCAD'!$A$2:$A$176,0))),"",INDEX('Long_TCAD'!$I$2:$I$176,MATCH(B41,'Long_TCAD'!$A$2:$A$176,0))),"")</x:f>
        <x:v>92.608</x:v>
      </x:c>
      <x:c r="AA41" s="96" t="n">
        <x:f>IFERROR(IF(ISBLANK(INDEX('Long_TCAD'!$J$2:$J$176,MATCH(B41,'Long_TCAD'!$A$2:$A$176,0))),"",INDEX('Long_TCAD'!$J$2:$J$176,MATCH(B41,'Long_TCAD'!$A$2:$A$176,0))),"")</x:f>
        <x:v>0.0003855</x:v>
      </x:c>
      <x:c r="AB41" s="96" t="n">
        <x:f>IFERROR(IF(ISBLANK(INDEX('Long_TCAD'!$K$2:$K$176,MATCH(B41,'Long_TCAD'!$A$2:$A$176,0))),"",INDEX('Long_TCAD'!$K$2:$K$176,MATCH(B41,'Long_TCAD'!$A$2:$A$176,0))),"")</x:f>
        <x:v>2.982e-11</x:v>
      </x:c>
      <x:c r="AC41" s="95" t="n">
        <x:f>IF(OR(NOT(ISNUMBER(AA41)),NOT(ISNUMBER(AB41))),"",AA41/AB41)</x:f>
        <x:v>12927565.392354125</x:v>
      </x:c>
      <x:c r="AD41" s="93" t="n">
        <x:f>IF(NOT(ISNUMBER(Y41)),"",ABS(Y41-T41)*1000)</x:f>
        <x:v>45.12333333333096</x:v>
      </x:c>
      <x:c r="AE41" s="93" t="n">
        <x:f>IF(NOT(ISNUMBER(Z41)),"",ABS(Z41-U41))</x:f>
        <x:v>6.336910193228178</x:v>
      </x:c>
      <x:c r="AF41" s="93" t="n">
        <x:f>IF(NOT(ISNUMBER(AA41)),"",ABS(LOG10(AA41)-LOG10(V41)))</x:f>
        <x:v>0.05909562470605989</x:v>
      </x:c>
      <x:c r="AG41" s="93" t="n">
        <x:f>IF(NOT(ISNUMBER(AB41)),"",ABS(LOG10(AB41)-LOG10(W41)))</x:f>
        <x:v>2.1192928757436</x:v>
      </x:c>
      <x:c r="AH41" s="93" t="n">
        <x:f>IF(NOT(ISNUMBER(AC41)),"",ABS(LOG10(AC41)-LOG10(X41)))</x:f>
        <x:v>2.060197251037529</x:v>
      </x:c>
      <x:c r="AI41" s="85" t="str">
        <x:f>IF(OR(NOT(ISNUMBER(Y41)),NOT(ISNUMBER(Z41)),NOT(ISNUMBER(AA41)),NOT(ISNUMBER(AB41))),"",IF(AND(Y41&gt;=0.3,Y41&lt;=1.2,Z41&lt;=200,AA41&gt;=1E-4,AB41&lt;=1E-6),"PASS","FAIL"))</x:f>
        <x:v>PASS</x:v>
      </x:c>
      <x:c r="AJ41" s="85" t="str"/>
    </x:row>
    <x:row r="42">
      <x:c r="A42" s="85" t="str">
        <x:v>L0180-41</x:v>
      </x:c>
      <x:c r="B42" s="85" t="str">
        <x:v>LR039</x:v>
      </x:c>
      <x:c r="C42" s="93" t="n">
        <x:v>0.18</x:v>
      </x:c>
      <x:c r="D42" s="93" t="str">
        <x:v>Practical</x:v>
      </x:c>
      <x:c r="E42" s="93" t="n">
        <x:v>1</x:v>
      </x:c>
      <x:c r="F42" s="94" t="n">
        <x:v>23057</x:v>
      </x:c>
      <x:c r="G42" s="93" t="n">
        <x:v>0.7479651208071574</x:v>
      </x:c>
      <x:c r="H42" s="93" t="n">
        <x:v>93.88124183148972</x:v>
      </x:c>
      <x:c r="I42" s="95" t="n">
        <x:v>0.00034951568805387527</x:v>
      </x:c>
      <x:c r="J42" s="95" t="n">
        <x:v>1.934267763299013e-12</x:v>
      </x:c>
      <x:c r="K42" s="95" t="n">
        <x:v>180696641.22290632</x:v>
      </x:c>
      <x:c r="L42" s="95" t="n">
        <x:v>54153631204814.51</x:v>
      </x:c>
      <x:c r="M42" s="95" t="n">
        <x:v>12.170231348148473</x:v>
      </x:c>
      <x:c r="N42" s="95" t="n">
        <x:v>275236027805139.22</x:v>
      </x:c>
      <x:c r="O42" s="95" t="n">
        <x:v>29.803907544667616</x:v>
      </x:c>
      <x:c r="P42" s="93"/>
      <x:c r="Q42" s="95"/>
      <x:c r="R42" s="95"/>
      <x:c r="S42" s="97" t="n">
        <x:v>0.99</x:v>
      </x:c>
      <x:c r="T42" s="93" t="n">
        <x:v>0.7263933333333317</x:v>
      </x:c>
      <x:c r="U42" s="98" t="n">
        <x:v>91.35737178846071</x:v>
      </x:c>
      <x:c r="V42" s="95" t="n">
        <x:v>0.00036214573182309184</x:v>
      </x:c>
      <x:c r="W42" s="95" t="n">
        <x:v>1.8840321146487983e-12</x:v>
      </x:c>
      <x:c r="X42" s="95" t="n">
        <x:v>192218449.46661076</x:v>
      </x:c>
      <x:c r="Y42" s="99" t="n">
        <x:f>IFERROR(IF(ISBLANK(INDEX('Long_TCAD'!$H$2:$H$176,MATCH(B42,'Long_TCAD'!$A$2:$A$176,0))),"",INDEX('Long_TCAD'!$H$2:$H$176,MATCH(B42,'Long_TCAD'!$A$2:$A$176,0))),"")</x:f>
        <x:v>0.725</x:v>
      </x:c>
      <x:c r="Z42" s="100" t="n">
        <x:f>IFERROR(IF(ISBLANK(INDEX('Long_TCAD'!$I$2:$I$176,MATCH(B42,'Long_TCAD'!$A$2:$A$176,0))),"",INDEX('Long_TCAD'!$I$2:$I$176,MATCH(B42,'Long_TCAD'!$A$2:$A$176,0))),"")</x:f>
        <x:v>93.565</x:v>
      </x:c>
      <x:c r="AA42" s="96" t="n">
        <x:f>IFERROR(IF(ISBLANK(INDEX('Long_TCAD'!$J$2:$J$176,MATCH(B42,'Long_TCAD'!$A$2:$A$176,0))),"",INDEX('Long_TCAD'!$J$2:$J$176,MATCH(B42,'Long_TCAD'!$A$2:$A$176,0))),"")</x:f>
        <x:v>0.0003865</x:v>
      </x:c>
      <x:c r="AB42" s="96" t="n">
        <x:f>IFERROR(IF(ISBLANK(INDEX('Long_TCAD'!$K$2:$K$176,MATCH(B42,'Long_TCAD'!$A$2:$A$176,0))),"",INDEX('Long_TCAD'!$K$2:$K$176,MATCH(B42,'Long_TCAD'!$A$2:$A$176,0))),"")</x:f>
        <x:v>5.562e-12</x:v>
      </x:c>
      <x:c r="AC42" s="95" t="n">
        <x:f>IF(OR(NOT(ISNUMBER(AA42)),NOT(ISNUMBER(AB42))),"",AA42/AB42)</x:f>
        <x:v>69489392.30492629</x:v>
      </x:c>
      <x:c r="AD42" s="93" t="n">
        <x:f>IF(NOT(ISNUMBER(Y42)),"",ABS(Y42-T42)*1000)</x:f>
        <x:v>1.3933333333316922</x:v>
      </x:c>
      <x:c r="AE42" s="93" t="n">
        <x:f>IF(NOT(ISNUMBER(Z42)),"",ABS(Z42-U42))</x:f>
        <x:v>2.207628211539287</x:v>
      </x:c>
      <x:c r="AF42" s="93" t="n">
        <x:f>IF(NOT(ISNUMBER(AA42)),"",ABS(LOG10(AA42)-LOG10(V42)))</x:f>
        <x:v>0.02826612719504018</x:v>
      </x:c>
      <x:c r="AG42" s="93" t="n">
        <x:f>IF(NOT(ISNUMBER(AB42)),"",ABS(LOG10(AB42)-LOG10(W42)))</x:f>
        <x:v>0.47014268315409957</x:v>
      </x:c>
      <x:c r="AH42" s="93" t="n">
        <x:f>IF(NOT(ISNUMBER(AC42)),"",ABS(LOG10(AC42)-LOG10(X42)))</x:f>
        <x:v>0.4418765559591007</x:v>
      </x:c>
      <x:c r="AI42" s="85" t="str">
        <x:f>IF(OR(NOT(ISNUMBER(Y42)),NOT(ISNUMBER(Z42)),NOT(ISNUMBER(AA42)),NOT(ISNUMBER(AB42))),"",IF(AND(Y42&gt;=0.3,Y42&lt;=1.2,Z42&lt;=200,AA42&gt;=1E-4,AB42&lt;=1E-6),"PASS","FAIL"))</x:f>
        <x:v>PASS</x:v>
      </x:c>
      <x:c r="AJ42" s="85" t="str"/>
    </x:row>
    <x:row r="43">
      <x:c r="A43" s="85" t="str">
        <x:v>L0180-42</x:v>
      </x:c>
      <x:c r="B43" s="85" t="str">
        <x:v>LR040</x:v>
      </x:c>
      <x:c r="C43" s="93" t="n">
        <x:v>0.18</x:v>
      </x:c>
      <x:c r="D43" s="93" t="str">
        <x:v>Practical</x:v>
      </x:c>
      <x:c r="E43" s="93" t="n">
        <x:v>1</x:v>
      </x:c>
      <x:c r="F43" s="94" t="n">
        <x:v>10948</x:v>
      </x:c>
      <x:c r="G43" s="93" t="n">
        <x:v>0.7470060865591214</x:v>
      </x:c>
      <x:c r="H43" s="93" t="n">
        <x:v>89.08458364367996</x:v>
      </x:c>
      <x:c r="I43" s="95" t="n">
        <x:v>0.00037857209011459</x:v>
      </x:c>
      <x:c r="J43" s="95" t="n">
        <x:v>6.208147698993581e-13</x:v>
      </x:c>
      <x:c r="K43" s="95" t="n">
        <x:v>609798781.3272569</x:v>
      </x:c>
      <x:c r="L43" s="95" t="n">
        <x:v>184734802116.79913</x:v>
      </x:c>
      <x:c r="M43" s="95" t="n">
        <x:v>61.58756598125124</x:v>
      </x:c>
      <x:c r="N43" s="95" t="n">
        <x:v>4657161098340066</x:v>
      </x:c>
      <x:c r="O43" s="95" t="n">
        <x:v>11.105231126517213</x:v>
      </x:c>
      <x:c r="P43" s="93"/>
      <x:c r="Q43" s="95"/>
      <x:c r="R43" s="95"/>
      <x:c r="S43" s="97" t="n">
        <x:v>1</x:v>
      </x:c>
      <x:c r="T43" s="93" t="n">
        <x:v>0.7454066666666677</x:v>
      </x:c>
      <x:c r="U43" s="98" t="n">
        <x:v>89.93366121156647</x:v>
      </x:c>
      <x:c r="V43" s="95" t="n">
        <x:v>0.00036994541355741585</x:v>
      </x:c>
      <x:c r="W43" s="95" t="n">
        <x:v>6.202625040463029e-13</x:v>
      </x:c>
      <x:c r="X43" s="95" t="n">
        <x:v>596433624.7057734</x:v>
      </x:c>
      <x:c r="Y43" s="99" t="n">
        <x:f>IFERROR(IF(ISBLANK(INDEX('Long_TCAD'!$H$2:$H$176,MATCH(B43,'Long_TCAD'!$A$2:$A$176,0))),"",INDEX('Long_TCAD'!$H$2:$H$176,MATCH(B43,'Long_TCAD'!$A$2:$A$176,0))),"")</x:f>
        <x:v>0.725</x:v>
      </x:c>
      <x:c r="Z43" s="100" t="n">
        <x:f>IFERROR(IF(ISBLANK(INDEX('Long_TCAD'!$I$2:$I$176,MATCH(B43,'Long_TCAD'!$A$2:$A$176,0))),"",INDEX('Long_TCAD'!$I$2:$I$176,MATCH(B43,'Long_TCAD'!$A$2:$A$176,0))),"")</x:f>
        <x:v>93.649</x:v>
      </x:c>
      <x:c r="AA43" s="96" t="n">
        <x:f>IFERROR(IF(ISBLANK(INDEX('Long_TCAD'!$J$2:$J$176,MATCH(B43,'Long_TCAD'!$A$2:$A$176,0))),"",INDEX('Long_TCAD'!$J$2:$J$176,MATCH(B43,'Long_TCAD'!$A$2:$A$176,0))),"")</x:f>
        <x:v>0.0003921</x:v>
      </x:c>
      <x:c r="AB43" s="96" t="n">
        <x:f>IFERROR(IF(ISBLANK(INDEX('Long_TCAD'!$K$2:$K$176,MATCH(B43,'Long_TCAD'!$A$2:$A$176,0))),"",INDEX('Long_TCAD'!$K$2:$K$176,MATCH(B43,'Long_TCAD'!$A$2:$A$176,0))),"")</x:f>
        <x:v>6.195e-12</x:v>
      </x:c>
      <x:c r="AC43" s="95" t="n">
        <x:f>IF(OR(NOT(ISNUMBER(AA43)),NOT(ISNUMBER(AB43))),"",AA43/AB43)</x:f>
        <x:v>63292978.20823244</x:v>
      </x:c>
      <x:c r="AD43" s="93" t="n">
        <x:f>IF(NOT(ISNUMBER(Y43)),"",ABS(Y43-T43)*1000)</x:f>
        <x:v>20.406666666667682</x:v>
      </x:c>
      <x:c r="AE43" s="93" t="n">
        <x:f>IF(NOT(ISNUMBER(Z43)),"",ABS(Z43-U43))</x:f>
        <x:v>3.7153387884335274</x:v>
      </x:c>
      <x:c r="AF43" s="93" t="n">
        <x:f>IF(NOT(ISNUMBER(AA43)),"",ABS(LOG10(AA43)-LOG10(V43)))</x:f>
        <x:v>0.02525919482700001</x:v>
      </x:c>
      <x:c r="AG43" s="93" t="n">
        <x:f>IF(NOT(ISNUMBER(AB43)),"",ABS(LOG10(AB43)-LOG10(W43)))</x:f>
        <x:v>0.9994657826150011</x:v>
      </x:c>
      <x:c r="AH43" s="93" t="n">
        <x:f>IF(NOT(ISNUMBER(AC43)),"",ABS(LOG10(AC43)-LOG10(X43)))</x:f>
        <x:v>0.9742065877879593</x:v>
      </x:c>
      <x:c r="AI43" s="85" t="str">
        <x:f>IF(OR(NOT(ISNUMBER(Y43)),NOT(ISNUMBER(Z43)),NOT(ISNUMBER(AA43)),NOT(ISNUMBER(AB43))),"",IF(AND(Y43&gt;=0.3,Y43&lt;=1.2,Z43&lt;=200,AA43&gt;=1E-4,AB43&lt;=1E-6),"PASS","FAIL"))</x:f>
        <x:v>PASS</x:v>
      </x:c>
      <x:c r="AJ43" s="85" t="str"/>
    </x:row>
    <x:row r="44">
      <x:c r="A44" s="85" t="str">
        <x:v>L0180-43</x:v>
      </x:c>
      <x:c r="B44" s="85" t="str">
        <x:v>LR041</x:v>
      </x:c>
      <x:c r="C44" s="93" t="n">
        <x:v>0.18</x:v>
      </x:c>
      <x:c r="D44" s="93" t="str">
        <x:v>Practical</x:v>
      </x:c>
      <x:c r="E44" s="93" t="n">
        <x:v>1</x:v>
      </x:c>
      <x:c r="F44" s="94" t="n">
        <x:v>32878</x:v>
      </x:c>
      <x:c r="G44" s="93" t="n">
        <x:v>0.6994490093381092</x:v>
      </x:c>
      <x:c r="H44" s="93" t="n">
        <x:v>84.963</x:v>
      </x:c>
      <x:c r="I44" s="95" t="n">
        <x:v>0.0003399287582104476</x:v>
      </x:c>
      <x:c r="J44" s="95" t="n">
        <x:v>2.8995105551861187e-12</x:v>
      </x:c>
      <x:c r="K44" s="95" t="n">
        <x:v>117236599.67453633</x:v>
      </x:c>
      <x:c r="L44" s="95" t="n">
        <x:v>15159645800869.287</x:v>
      </x:c>
      <x:c r="M44" s="95" t="n">
        <x:v>38.284529961857174</x:v>
      </x:c>
      <x:c r="N44" s="95" t="n">
        <x:v>313163017737984</x:v>
      </x:c>
      <x:c r="O44" s="95" t="n">
        <x:v>17.733966773620583</x:v>
      </x:c>
      <x:c r="P44" s="93"/>
      <x:c r="Q44" s="95"/>
      <x:c r="R44" s="95"/>
      <x:c r="S44" s="97" t="n">
        <x:v>0.9933333333333333</x:v>
      </x:c>
      <x:c r="T44" s="93" t="n">
        <x:v>0.6984133333333351</x:v>
      </x:c>
      <x:c r="U44" s="98" t="n">
        <x:v>91.74914725151581</x:v>
      </x:c>
      <x:c r="V44" s="95" t="n">
        <x:v>0.00036793096120893795</x:v>
      </x:c>
      <x:c r="W44" s="95" t="n">
        <x:v>2.9078670559717296e-12</x:v>
      </x:c>
      <x:c r="X44" s="95" t="n">
        <x:v>126529498.8136882</x:v>
      </x:c>
      <x:c r="Y44" s="99" t="n">
        <x:f>IFERROR(IF(ISBLANK(INDEX('Long_TCAD'!$H$2:$H$176,MATCH(B44,'Long_TCAD'!$A$2:$A$176,0))),"",INDEX('Long_TCAD'!$H$2:$H$176,MATCH(B44,'Long_TCAD'!$A$2:$A$176,0))),"")</x:f>
        <x:v>0.677</x:v>
      </x:c>
      <x:c r="Z44" s="100" t="n">
        <x:f>IFERROR(IF(ISBLANK(INDEX('Long_TCAD'!$I$2:$I$176,MATCH(B44,'Long_TCAD'!$A$2:$A$176,0))),"",INDEX('Long_TCAD'!$I$2:$I$176,MATCH(B44,'Long_TCAD'!$A$2:$A$176,0))),"")</x:f>
        <x:v>95.547</x:v>
      </x:c>
      <x:c r="AA44" s="96" t="n">
        <x:f>IFERROR(IF(ISBLANK(INDEX('Long_TCAD'!$J$2:$J$176,MATCH(B44,'Long_TCAD'!$A$2:$A$176,0))),"",INDEX('Long_TCAD'!$J$2:$J$176,MATCH(B44,'Long_TCAD'!$A$2:$A$176,0))),"")</x:f>
        <x:v>0.0003939</x:v>
      </x:c>
      <x:c r="AB44" s="96" t="n">
        <x:f>IFERROR(IF(ISBLANK(INDEX('Long_TCAD'!$K$2:$K$176,MATCH(B44,'Long_TCAD'!$A$2:$A$176,0))),"",INDEX('Long_TCAD'!$K$2:$K$176,MATCH(B44,'Long_TCAD'!$A$2:$A$176,0))),"")</x:f>
        <x:v>3.002e-11</x:v>
      </x:c>
      <x:c r="AC44" s="95" t="n">
        <x:f>IF(OR(NOT(ISNUMBER(AA44)),NOT(ISNUMBER(AB44))),"",AA44/AB44)</x:f>
        <x:v>13121252.498334445</x:v>
      </x:c>
      <x:c r="AD44" s="93" t="n">
        <x:f>IF(NOT(ISNUMBER(Y44)),"",ABS(Y44-T44)*1000)</x:f>
        <x:v>21.41333333333506</x:v>
      </x:c>
      <x:c r="AE44" s="93" t="n">
        <x:f>IF(NOT(ISNUMBER(Z44)),"",ABS(Z44-U44))</x:f>
        <x:v>3.797852748484189</x:v>
      </x:c>
      <x:c r="AF44" s="93" t="n">
        <x:f>IF(NOT(ISNUMBER(AA44)),"",ABS(LOG10(AA44)-LOG10(V44)))</x:f>
        <x:v>0.029619645773800052</x:v>
      </x:c>
      <x:c r="AG44" s="93" t="n">
        <x:f>IF(NOT(ISNUMBER(AB44)),"",ABS(LOG10(AB44)-LOG10(W44)))</x:f>
        <x:v>1.0138361406645</x:v>
      </x:c>
      <x:c r="AH44" s="93" t="n">
        <x:f>IF(NOT(ISNUMBER(AC44)),"",ABS(LOG10(AC44)-LOG10(X44)))</x:f>
        <x:v>0.9842164948906307</x:v>
      </x:c>
      <x:c r="AI44" s="85" t="str">
        <x:f>IF(OR(NOT(ISNUMBER(Y44)),NOT(ISNUMBER(Z44)),NOT(ISNUMBER(AA44)),NOT(ISNUMBER(AB44))),"",IF(AND(Y44&gt;=0.3,Y44&lt;=1.2,Z44&lt;=200,AA44&gt;=1E-4,AB44&lt;=1E-6),"PASS","FAIL"))</x:f>
        <x:v>PASS</x:v>
      </x:c>
      <x:c r="AJ44" s="85" t="str"/>
    </x:row>
    <x:row r="45">
      <x:c r="A45" s="85" t="str">
        <x:v>L0180-44</x:v>
      </x:c>
      <x:c r="B45" s="85" t="str">
        <x:v>LR042</x:v>
      </x:c>
      <x:c r="C45" s="93" t="n">
        <x:v>0.18</x:v>
      </x:c>
      <x:c r="D45" s="93" t="str">
        <x:v>Practical</x:v>
      </x:c>
      <x:c r="E45" s="93" t="n">
        <x:v>1</x:v>
      </x:c>
      <x:c r="F45" s="94" t="n">
        <x:v>17780</x:v>
      </x:c>
      <x:c r="G45" s="93" t="n">
        <x:v>0.7132558324535359</x:v>
      </x:c>
      <x:c r="H45" s="93" t="n">
        <x:v>96.39529860954605</x:v>
      </x:c>
      <x:c r="I45" s="95" t="n">
        <x:v>0.00036904448227470385</x:v>
      </x:c>
      <x:c r="J45" s="95" t="n">
        <x:v>1.5126164006567542e-11</x:v>
      </x:c>
      <x:c r="K45" s="95" t="n">
        <x:v>24397757.56196155</x:v>
      </x:c>
      <x:c r="L45" s="95" t="n">
        <x:v>529850260355133.6</x:v>
      </x:c>
      <x:c r="M45" s="95" t="n">
        <x:v>22.615956687678885</x:v>
      </x:c>
      <x:c r="N45" s="95" t="n">
        <x:v>2011767614182086.2</x:v>
      </x:c>
      <x:c r="O45" s="95" t="n">
        <x:v>12.150518018945112</x:v>
      </x:c>
      <x:c r="P45" s="93"/>
      <x:c r="Q45" s="95"/>
      <x:c r="R45" s="95"/>
      <x:c r="S45" s="97" t="n">
        <x:v>1</x:v>
      </x:c>
      <x:c r="T45" s="93" t="n">
        <x:v>0.7205066666666654</x:v>
      </x:c>
      <x:c r="U45" s="98" t="n">
        <x:v>96.00371485072249</x:v>
      </x:c>
      <x:c r="V45" s="95" t="n">
        <x:v>0.0003989371488726963</x:v>
      </x:c>
      <x:c r="W45" s="95" t="n">
        <x:v>1.5094051780544217e-11</x:v>
      </x:c>
      <x:c r="X45" s="95" t="n">
        <x:v>26430090.12244906</x:v>
      </x:c>
      <x:c r="Y45" s="99" t="n">
        <x:f>IFERROR(IF(ISBLANK(INDEX('Long_TCAD'!$H$2:$H$176,MATCH(B45,'Long_TCAD'!$A$2:$A$176,0))),"",INDEX('Long_TCAD'!$H$2:$H$176,MATCH(B45,'Long_TCAD'!$A$2:$A$176,0))),"")</x:f>
        <x:v>0.701</x:v>
      </x:c>
      <x:c r="Z45" s="100" t="n">
        <x:f>IFERROR(IF(ISBLANK(INDEX('Long_TCAD'!$I$2:$I$176,MATCH(B45,'Long_TCAD'!$A$2:$A$176,0))),"",INDEX('Long_TCAD'!$I$2:$I$176,MATCH(B45,'Long_TCAD'!$A$2:$A$176,0))),"")</x:f>
        <x:v>100.835</x:v>
      </x:c>
      <x:c r="AA45" s="96" t="n">
        <x:f>IFERROR(IF(ISBLANK(INDEX('Long_TCAD'!$J$2:$J$176,MATCH(B45,'Long_TCAD'!$A$2:$A$176,0))),"",INDEX('Long_TCAD'!$J$2:$J$176,MATCH(B45,'Long_TCAD'!$A$2:$A$176,0))),"")</x:f>
        <x:v>0.0004192</x:v>
      </x:c>
      <x:c r="AB45" s="96" t="n">
        <x:f>IFERROR(IF(ISBLANK(INDEX('Long_TCAD'!$K$2:$K$176,MATCH(B45,'Long_TCAD'!$A$2:$A$176,0))),"",INDEX('Long_TCAD'!$K$2:$K$176,MATCH(B45,'Long_TCAD'!$A$2:$A$176,0))),"")</x:f>
        <x:v>1.083e-10</x:v>
      </x:c>
      <x:c r="AC45" s="95" t="n">
        <x:f>IF(OR(NOT(ISNUMBER(AA45)),NOT(ISNUMBER(AB45))),"",AA45/AB45)</x:f>
        <x:v>3870729.45521699</x:v>
      </x:c>
      <x:c r="AD45" s="93" t="n">
        <x:f>IF(NOT(ISNUMBER(Y45)),"",ABS(Y45-T45)*1000)</x:f>
        <x:v>19.506666666665453</x:v>
      </x:c>
      <x:c r="AE45" s="93" t="n">
        <x:f>IF(NOT(ISNUMBER(Z45)),"",ABS(Z45-U45))</x:f>
        <x:v>4.831285149277505</x:v>
      </x:c>
      <x:c r="AF45" s="93" t="n">
        <x:f>IF(NOT(ISNUMBER(AA45)),"",ABS(LOG10(AA45)-LOG10(V45)))</x:f>
        <x:v>0.021516794448929843</x:v>
      </x:c>
      <x:c r="AG45" s="93" t="n">
        <x:f>IF(NOT(ISNUMBER(AB45)),"",ABS(LOG10(AB45)-LOG10(W45)))</x:f>
        <x:v>0.8558226211086204</x:v>
      </x:c>
      <x:c r="AH45" s="93" t="n">
        <x:f>IF(NOT(ISNUMBER(AC45)),"",ABS(LOG10(AC45)-LOG10(X45)))</x:f>
        <x:v>0.8343058266597394</x:v>
      </x:c>
      <x:c r="AI45" s="85" t="str">
        <x:f>IF(OR(NOT(ISNUMBER(Y45)),NOT(ISNUMBER(Z45)),NOT(ISNUMBER(AA45)),NOT(ISNUMBER(AB45))),"",IF(AND(Y45&gt;=0.3,Y45&lt;=1.2,Z45&lt;=200,AA45&gt;=1E-4,AB45&lt;=1E-6),"PASS","FAIL"))</x:f>
        <x:v>PASS</x:v>
      </x:c>
      <x:c r="AJ45" s="85" t="str"/>
    </x:row>
    <x:row r="46">
      <x:c r="A46" s="85" t="str">
        <x:v>L0180-45</x:v>
      </x:c>
      <x:c r="B46" s="85" t="str">
        <x:v>LR043</x:v>
      </x:c>
      <x:c r="C46" s="93" t="n">
        <x:v>0.18</x:v>
      </x:c>
      <x:c r="D46" s="93" t="str">
        <x:v>Practical</x:v>
      </x:c>
      <x:c r="E46" s="93" t="n">
        <x:v>1</x:v>
      </x:c>
      <x:c r="F46" s="94" t="n">
        <x:v>27308</x:v>
      </x:c>
      <x:c r="G46" s="93" t="n">
        <x:v>0.7133762439811236</x:v>
      </x:c>
      <x:c r="H46" s="93" t="n">
        <x:v>87.47061088536827</x:v>
      </x:c>
      <x:c r="I46" s="95" t="n">
        <x:v>0.0003619393224857</x:v>
      </x:c>
      <x:c r="J46" s="95" t="n">
        <x:v>5.053908477279554e-12</x:v>
      </x:c>
      <x:c r="K46" s="95" t="n">
        <x:v>71615725.55435883</x:v>
      </x:c>
      <x:c r="L46" s="95" t="n">
        <x:v>1249197102721.89</x:v>
      </x:c>
      <x:c r="M46" s="95" t="n">
        <x:v>41.79580247943934</x:v>
      </x:c>
      <x:c r="N46" s="95" t="n">
        <x:v>1403805878670328.5</x:v>
      </x:c>
      <x:c r="O46" s="95" t="n">
        <x:v>21.39690915760947</x:v>
      </x:c>
      <x:c r="P46" s="93"/>
      <x:c r="Q46" s="95"/>
      <x:c r="R46" s="95"/>
      <x:c r="S46" s="97" t="n">
        <x:v>1</x:v>
      </x:c>
      <x:c r="T46" s="93" t="n">
        <x:v>0.7111533333333337</x:v>
      </x:c>
      <x:c r="U46" s="98" t="n">
        <x:v>91.40988654099965</x:v>
      </x:c>
      <x:c r="V46" s="95" t="n">
        <x:v>0.000383505992004512</x:v>
      </x:c>
      <x:c r="W46" s="95" t="n">
        <x:v>5.121491459915704e-12</x:v>
      </x:c>
      <x:c r="X46" s="95" t="n">
        <x:v>74881700.9666212</x:v>
      </x:c>
      <x:c r="Y46" s="99" t="n">
        <x:f>IFERROR(IF(ISBLANK(INDEX('Long_TCAD'!$H$2:$H$176,MATCH(B46,'Long_TCAD'!$A$2:$A$176,0))),"",INDEX('Long_TCAD'!$H$2:$H$176,MATCH(B46,'Long_TCAD'!$A$2:$A$176,0))),"")</x:f>
        <x:v>0.667</x:v>
      </x:c>
      <x:c r="Z46" s="100" t="n">
        <x:f>IFERROR(IF(ISBLANK(INDEX('Long_TCAD'!$I$2:$I$176,MATCH(B46,'Long_TCAD'!$A$2:$A$176,0))),"",INDEX('Long_TCAD'!$I$2:$I$176,MATCH(B46,'Long_TCAD'!$A$2:$A$176,0))),"")</x:f>
        <x:v>98.316</x:v>
      </x:c>
      <x:c r="AA46" s="96" t="n">
        <x:f>IFERROR(IF(ISBLANK(INDEX('Long_TCAD'!$J$2:$J$176,MATCH(B46,'Long_TCAD'!$A$2:$A$176,0))),"",INDEX('Long_TCAD'!$J$2:$J$176,MATCH(B46,'Long_TCAD'!$A$2:$A$176,0))),"")</x:f>
        <x:v>0.0004113</x:v>
      </x:c>
      <x:c r="AB46" s="96" t="n">
        <x:f>IFERROR(IF(ISBLANK(INDEX('Long_TCAD'!$K$2:$K$176,MATCH(B46,'Long_TCAD'!$A$2:$A$176,0))),"",INDEX('Long_TCAD'!$K$2:$K$176,MATCH(B46,'Long_TCAD'!$A$2:$A$176,0))),"")</x:f>
        <x:v>2.867e-10</x:v>
      </x:c>
      <x:c r="AC46" s="95" t="n">
        <x:f>IF(OR(NOT(ISNUMBER(AA46)),NOT(ISNUMBER(AB46))),"",AA46/AB46)</x:f>
        <x:v>1434600.627833973</x:v>
      </x:c>
      <x:c r="AD46" s="93" t="n">
        <x:f>IF(NOT(ISNUMBER(Y46)),"",ABS(Y46-T46)*1000)</x:f>
        <x:v>44.15333333333371</x:v>
      </x:c>
      <x:c r="AE46" s="93" t="n">
        <x:f>IF(NOT(ISNUMBER(Z46)),"",ABS(Z46-U46))</x:f>
        <x:v>6.906113459000352</x:v>
      </x:c>
      <x:c r="AF46" s="93" t="n">
        <x:f>IF(NOT(ISNUMBER(AA46)),"",ABS(LOG10(AA46)-LOG10(V46)))</x:f>
        <x:v>0.030386555633139967</x:v>
      </x:c>
      <x:c r="AG46" s="93" t="n">
        <x:f>IF(NOT(ISNUMBER(AB46)),"",ABS(LOG10(AB46)-LOG10(W46)))</x:f>
        <x:v>1.748031240078591</x:v>
      </x:c>
      <x:c r="AH46" s="93" t="n">
        <x:f>IF(NOT(ISNUMBER(AC46)),"",ABS(LOG10(AC46)-LOG10(X46)))</x:f>
        <x:v>1.7176446844455002</x:v>
      </x:c>
      <x:c r="AI46" s="85" t="str">
        <x:f>IF(OR(NOT(ISNUMBER(Y46)),NOT(ISNUMBER(Z46)),NOT(ISNUMBER(AA46)),NOT(ISNUMBER(AB46))),"",IF(AND(Y46&gt;=0.3,Y46&lt;=1.2,Z46&lt;=200,AA46&gt;=1E-4,AB46&lt;=1E-6),"PASS","FAIL"))</x:f>
        <x:v>PASS</x:v>
      </x:c>
      <x:c r="AJ46" s="85" t="str"/>
    </x:row>
    <x:row r="47">
      <x:c r="A47" s="85" t="str">
        <x:v>L0180-46</x:v>
      </x:c>
      <x:c r="B47" s="85" t="str">
        <x:v>LR005</x:v>
      </x:c>
      <x:c r="C47" s="93" t="n">
        <x:v>0.18</x:v>
      </x:c>
      <x:c r="D47" s="93" t="str">
        <x:v>Practical</x:v>
      </x:c>
      <x:c r="E47" s="93" t="n">
        <x:v>1</x:v>
      </x:c>
      <x:c r="F47" s="94" t="n">
        <x:v>32697</x:v>
      </x:c>
      <x:c r="G47" s="93" t="n">
        <x:v>0.6905741348648067</x:v>
      </x:c>
      <x:c r="H47" s="93" t="n">
        <x:v>84.963</x:v>
      </x:c>
      <x:c r="I47" s="95" t="n">
        <x:v>0.0002986827666160619</x:v>
      </x:c>
      <x:c r="J47" s="95" t="n">
        <x:v>2.308315092000354e-12</x:v>
      </x:c>
      <x:c r="K47" s="95" t="n">
        <x:v>129394278.81885377</x:v>
      </x:c>
      <x:c r="L47" s="95" t="n">
        <x:v>4890596990826.19</x:v>
      </x:c>
      <x:c r="M47" s="95" t="n">
        <x:v>53.1585513160589</x:v>
      </x:c>
      <x:c r="N47" s="95" t="n">
        <x:v>138108399549874.03</x:v>
      </x:c>
      <x:c r="O47" s="95" t="n">
        <x:v>39.62116561753595</x:v>
      </x:c>
      <x:c r="P47" s="93"/>
      <x:c r="Q47" s="95"/>
      <x:c r="R47" s="95"/>
      <x:c r="S47" s="97" t="n">
        <x:v>0.9866666666666667</x:v>
      </x:c>
      <x:c r="T47" s="93" t="n">
        <x:v>0.6880000000000026</x:v>
      </x:c>
      <x:c r="U47" s="98" t="n">
        <x:v>87.23651225375156</x:v>
      </x:c>
      <x:c r="V47" s="95" t="n">
        <x:v>0.0003447080220666997</x:v>
      </x:c>
      <x:c r="W47" s="95" t="n">
        <x:v>2.0646095342279988e-12</x:v>
      </x:c>
      <x:c r="X47" s="95" t="n">
        <x:v>166960394.37577882</x:v>
      </x:c>
      <x:c r="Y47" s="99" t="n">
        <x:f>IFERROR(IF(ISBLANK(INDEX('Long_TCAD'!$H$2:$H$176,MATCH(B47,'Long_TCAD'!$A$2:$A$176,0))),"",INDEX('Long_TCAD'!$H$2:$H$176,MATCH(B47,'Long_TCAD'!$A$2:$A$176,0))),"")</x:f>
        <x:v>0.645</x:v>
      </x:c>
      <x:c r="Z47" s="100" t="n">
        <x:f>IFERROR(IF(ISBLANK(INDEX('Long_TCAD'!$I$2:$I$176,MATCH(B47,'Long_TCAD'!$A$2:$A$176,0))),"",INDEX('Long_TCAD'!$I$2:$I$176,MATCH(B47,'Long_TCAD'!$A$2:$A$176,0))),"")</x:f>
        <x:v>92.353</x:v>
      </x:c>
      <x:c r="AA47" s="96" t="n">
        <x:f>IFERROR(IF(ISBLANK(INDEX('Long_TCAD'!$J$2:$J$176,MATCH(B47,'Long_TCAD'!$A$2:$A$176,0))),"",INDEX('Long_TCAD'!$J$2:$J$176,MATCH(B47,'Long_TCAD'!$A$2:$A$176,0))),"")</x:f>
        <x:v>0.0003762</x:v>
      </x:c>
      <x:c r="AB47" s="96" t="n">
        <x:f>IFERROR(IF(ISBLANK(INDEX('Long_TCAD'!$K$2:$K$176,MATCH(B47,'Long_TCAD'!$A$2:$A$176,0))),"",INDEX('Long_TCAD'!$K$2:$K$176,MATCH(B47,'Long_TCAD'!$A$2:$A$176,0))),"")</x:f>
        <x:v>5.999e-11</x:v>
      </x:c>
      <x:c r="AC47" s="95" t="n">
        <x:f>IF(OR(NOT(ISNUMBER(AA47)),NOT(ISNUMBER(AB47))),"",AA47/AB47)</x:f>
        <x:v>6271045.174195698</x:v>
      </x:c>
      <x:c r="AD47" s="93" t="n">
        <x:f>IF(NOT(ISNUMBER(Y47)),"",ABS(Y47-T47)*1000)</x:f>
        <x:v>43.00000000000259</x:v>
      </x:c>
      <x:c r="AE47" s="93" t="n">
        <x:f>IF(NOT(ISNUMBER(Z47)),"",ABS(Z47-U47))</x:f>
        <x:v>5.116487746248438</x:v>
      </x:c>
      <x:c r="AF47" s="93" t="n">
        <x:f>IF(NOT(ISNUMBER(AA47)),"",ABS(LOG10(AA47)-LOG10(V47)))</x:f>
        <x:v>0.03796740076039962</x:v>
      </x:c>
      <x:c r="AG47" s="93" t="n">
        <x:f>IF(NOT(ISNUMBER(AB47)),"",ABS(LOG10(AB47)-LOG10(W47)))</x:f>
        <x:v>1.4632409333856007</x:v>
      </x:c>
      <x:c r="AH47" s="93" t="n">
        <x:f>IF(NOT(ISNUMBER(AC47)),"",ABS(LOG10(AC47)-LOG10(X47)))</x:f>
        <x:v>1.4252735326251393</x:v>
      </x:c>
      <x:c r="AI47" s="85" t="str">
        <x:f>IF(OR(NOT(ISNUMBER(Y47)),NOT(ISNUMBER(Z47)),NOT(ISNUMBER(AA47)),NOT(ISNUMBER(AB47))),"",IF(AND(Y47&gt;=0.3,Y47&lt;=1.2,Z47&lt;=200,AA47&gt;=1E-4,AB47&lt;=1E-6),"PASS","FAIL"))</x:f>
        <x:v>PASS</x:v>
      </x:c>
      <x:c r="AJ47" s="85" t="str"/>
    </x:row>
    <x:row r="48">
      <x:c r="A48" s="85" t="str">
        <x:v>L0180-47</x:v>
      </x:c>
      <x:c r="B48" s="85" t="str">
        <x:v>LR044</x:v>
      </x:c>
      <x:c r="C48" s="93" t="n">
        <x:v>0.18</x:v>
      </x:c>
      <x:c r="D48" s="93" t="str">
        <x:v>Practical</x:v>
      </x:c>
      <x:c r="E48" s="93" t="n">
        <x:v>1</x:v>
      </x:c>
      <x:c r="F48" s="94" t="n">
        <x:v>7121</x:v>
      </x:c>
      <x:c r="G48" s="93" t="n">
        <x:v>0.7687545470999856</x:v>
      </x:c>
      <x:c r="H48" s="93" t="n">
        <x:v>87.93618268383284</x:v>
      </x:c>
      <x:c r="I48" s="95" t="n">
        <x:v>0.000406</x:v>
      </x:c>
      <x:c r="J48" s="95" t="n">
        <x:v>5.478941867693983e-13</x:v>
      </x:c>
      <x:c r="K48" s="95" t="n">
        <x:v>741018995.6457418</x:v>
      </x:c>
      <x:c r="L48" s="95" t="n">
        <x:v>147585328289.31082</x:v>
      </x:c>
      <x:c r="M48" s="95" t="n">
        <x:v>23.00827841673324</x:v>
      </x:c>
      <x:c r="N48" s="95" t="n">
        <x:v>1621717768316601.8</x:v>
      </x:c>
      <x:c r="O48" s="95" t="n">
        <x:v>12.087125733060969</x:v>
      </x:c>
      <x:c r="P48" s="93"/>
      <x:c r="Q48" s="95"/>
      <x:c r="R48" s="95"/>
      <x:c r="S48" s="97" t="n">
        <x:v>0.9966666666666667</x:v>
      </x:c>
      <x:c r="T48" s="93" t="n">
        <x:v>0.7504966666666687</x:v>
      </x:c>
      <x:c r="U48" s="98" t="n">
        <x:v>89.93968598339282</x:v>
      </x:c>
      <x:c r="V48" s="95" t="n">
        <x:v>0.0003690731246851732</x:v>
      </x:c>
      <x:c r="W48" s="95" t="n">
        <x:v>5.459095060173246e-13</x:v>
      </x:c>
      <x:c r="X48" s="95" t="n">
        <x:v>676070155.6156095</x:v>
      </x:c>
      <x:c r="Y48" s="99" t="n">
        <x:f>IFERROR(IF(ISBLANK(INDEX('Long_TCAD'!$H$2:$H$176,MATCH(B48,'Long_TCAD'!$A$2:$A$176,0))),"",INDEX('Long_TCAD'!$H$2:$H$176,MATCH(B48,'Long_TCAD'!$A$2:$A$176,0))),"")</x:f>
        <x:v>0.758</x:v>
      </x:c>
      <x:c r="Z48" s="100" t="n">
        <x:f>IFERROR(IF(ISBLANK(INDEX('Long_TCAD'!$I$2:$I$176,MATCH(B48,'Long_TCAD'!$A$2:$A$176,0))),"",INDEX('Long_TCAD'!$I$2:$I$176,MATCH(B48,'Long_TCAD'!$A$2:$A$176,0))),"")</x:f>
        <x:v>89.434</x:v>
      </x:c>
      <x:c r="AA48" s="96" t="n">
        <x:f>IFERROR(IF(ISBLANK(INDEX('Long_TCAD'!$J$2:$J$176,MATCH(B48,'Long_TCAD'!$A$2:$A$176,0))),"",INDEX('Long_TCAD'!$J$2:$J$176,MATCH(B48,'Long_TCAD'!$A$2:$A$176,0))),"")</x:f>
        <x:v>0.0003657</x:v>
      </x:c>
      <x:c r="AB48" s="96" t="n">
        <x:f>IFERROR(IF(ISBLANK(INDEX('Long_TCAD'!$K$2:$K$176,MATCH(B48,'Long_TCAD'!$A$2:$A$176,0))),"",INDEX('Long_TCAD'!$K$2:$K$176,MATCH(B48,'Long_TCAD'!$A$2:$A$176,0))),"")</x:f>
        <x:v>3.374e-13</x:v>
      </x:c>
      <x:c r="AC48" s="95" t="n">
        <x:f>IF(OR(NOT(ISNUMBER(AA48)),NOT(ISNUMBER(AB48))),"",AA48/AB48)</x:f>
        <x:v>1083876704.2086544</x:v>
      </x:c>
      <x:c r="AD48" s="93" t="n">
        <x:f>IF(NOT(ISNUMBER(Y48)),"",ABS(Y48-T48)*1000)</x:f>
        <x:v>7.503333333331308</x:v>
      </x:c>
      <x:c r="AE48" s="93" t="n">
        <x:f>IF(NOT(ISNUMBER(Z48)),"",ABS(Z48-U48))</x:f>
        <x:v>0.5056859833928229</x:v>
      </x:c>
      <x:c r="AF48" s="93" t="n">
        <x:f>IF(NOT(ISNUMBER(AA48)),"",ABS(LOG10(AA48)-LOG10(V48)))</x:f>
        <x:v>0.003987461379209911</x:v>
      </x:c>
      <x:c r="AG48" s="93" t="n">
        <x:f>IF(NOT(ISNUMBER(AB48)),"",ABS(LOG10(AB48)-LOG10(W48)))</x:f>
        <x:v>0.2089755785641998</x:v>
      </x:c>
      <x:c r="AH48" s="93" t="n">
        <x:f>IF(NOT(ISNUMBER(AC48)),"",ABS(LOG10(AC48)-LOG10(X48)))</x:f>
        <x:v>0.20498811718496057</x:v>
      </x:c>
      <x:c r="AI48" s="85" t="str">
        <x:f>IF(OR(NOT(ISNUMBER(Y48)),NOT(ISNUMBER(Z48)),NOT(ISNUMBER(AA48)),NOT(ISNUMBER(AB48))),"",IF(AND(Y48&gt;=0.3,Y48&lt;=1.2,Z48&lt;=200,AA48&gt;=1E-4,AB48&lt;=1E-6),"PASS","FAIL"))</x:f>
        <x:v>PASS</x:v>
      </x:c>
      <x:c r="AJ48" s="85" t="str"/>
    </x:row>
    <x:row r="49">
      <x:c r="A49" s="85" t="str">
        <x:v>L0180-48</x:v>
      </x:c>
      <x:c r="B49" s="85" t="str">
        <x:v>LR009</x:v>
      </x:c>
      <x:c r="C49" s="93" t="n">
        <x:v>0.18</x:v>
      </x:c>
      <x:c r="D49" s="93" t="str">
        <x:v>Practical</x:v>
      </x:c>
      <x:c r="E49" s="93" t="n">
        <x:v>1</x:v>
      </x:c>
      <x:c r="F49" s="94" t="n">
        <x:v>24300</x:v>
      </x:c>
      <x:c r="G49" s="93" t="n">
        <x:v>0.7208584707907881</x:v>
      </x:c>
      <x:c r="H49" s="93" t="n">
        <x:v>93.67389605424977</x:v>
      </x:c>
      <x:c r="I49" s="95" t="n">
        <x:v>0.000406</x:v>
      </x:c>
      <x:c r="J49" s="95" t="n">
        <x:v>4.128547803499914e-12</x:v>
      </x:c>
      <x:c r="K49" s="95" t="n">
        <x:v>98339663.07858169</x:v>
      </x:c>
      <x:c r="L49" s="95" t="n">
        <x:v>51245214742176.66</x:v>
      </x:c>
      <x:c r="M49" s="95" t="n">
        <x:v>15.537033130376072</x:v>
      </x:c>
      <x:c r="N49" s="95" t="n">
        <x:v>1764937948566377.2</x:v>
      </x:c>
      <x:c r="O49" s="95" t="n">
        <x:v>14.025235956809691</x:v>
      </x:c>
      <x:c r="P49" s="93"/>
      <x:c r="Q49" s="95"/>
      <x:c r="R49" s="95"/>
      <x:c r="S49" s="97" t="n">
        <x:v>0.9966666666666667</x:v>
      </x:c>
      <x:c r="T49" s="93" t="n">
        <x:v>0.7217366666666659</x:v>
      </x:c>
      <x:c r="U49" s="98" t="n">
        <x:v>92.93732395088743</x:v>
      </x:c>
      <x:c r="V49" s="95" t="n">
        <x:v>0.0003868730191100952</x:v>
      </x:c>
      <x:c r="W49" s="95" t="n">
        <x:v>4.320172023804179e-12</x:v>
      </x:c>
      <x:c r="X49" s="95" t="n">
        <x:v>89550373.68383066</x:v>
      </x:c>
      <x:c r="Y49" s="99" t="n">
        <x:f>IFERROR(IF(ISBLANK(INDEX('Long_TCAD'!$H$2:$H$176,MATCH(B49,'Long_TCAD'!$A$2:$A$176,0))),"",INDEX('Long_TCAD'!$H$2:$H$176,MATCH(B49,'Long_TCAD'!$A$2:$A$176,0))),"")</x:f>
        <x:v>0.722</x:v>
      </x:c>
      <x:c r="Z49" s="100" t="n">
        <x:f>IFERROR(IF(ISBLANK(INDEX('Long_TCAD'!$I$2:$I$176,MATCH(B49,'Long_TCAD'!$A$2:$A$176,0))),"",INDEX('Long_TCAD'!$I$2:$I$176,MATCH(B49,'Long_TCAD'!$A$2:$A$176,0))),"")</x:f>
        <x:v>95.041</x:v>
      </x:c>
      <x:c r="AA49" s="96" t="n">
        <x:f>IFERROR(IF(ISBLANK(INDEX('Long_TCAD'!$J$2:$J$176,MATCH(B49,'Long_TCAD'!$A$2:$A$176,0))),"",INDEX('Long_TCAD'!$J$2:$J$176,MATCH(B49,'Long_TCAD'!$A$2:$A$176,0))),"")</x:f>
        <x:v>0.0003964</x:v>
      </x:c>
      <x:c r="AB49" s="96" t="n">
        <x:f>IFERROR(IF(ISBLANK(INDEX('Long_TCAD'!$K$2:$K$176,MATCH(B49,'Long_TCAD'!$A$2:$A$176,0))),"",INDEX('Long_TCAD'!$K$2:$K$176,MATCH(B49,'Long_TCAD'!$A$2:$A$176,0))),"")</x:f>
        <x:v>1.006e-11</x:v>
      </x:c>
      <x:c r="AC49" s="95" t="n">
        <x:f>IF(OR(NOT(ISNUMBER(AA49)),NOT(ISNUMBER(AB49))),"",AA49/AB49)</x:f>
        <x:v>39403578.528827034</x:v>
      </x:c>
      <x:c r="AD49" s="93" t="n">
        <x:f>IF(NOT(ISNUMBER(Y49)),"",ABS(Y49-T49)*1000)</x:f>
        <x:v>0.2633333333340593</x:v>
      </x:c>
      <x:c r="AE49" s="93" t="n">
        <x:f>IF(NOT(ISNUMBER(Z49)),"",ABS(Z49-U49))</x:f>
        <x:v>2.103676049112565</x:v>
      </x:c>
      <x:c r="AF49" s="93" t="n">
        <x:f>IF(NOT(ISNUMBER(AA49)),"",ABS(LOG10(AA49)-LOG10(V49)))</x:f>
        <x:v>0.010565203143409807</x:v>
      </x:c>
      <x:c r="AG49" s="93" t="n">
        <x:f>IF(NOT(ISNUMBER(AB49)),"",ABS(LOG10(AB49)-LOG10(W49)))</x:f>
        <x:v>0.36709694050190045</x:v>
      </x:c>
      <x:c r="AH49" s="93" t="n">
        <x:f>IF(NOT(ISNUMBER(AC49)),"",ABS(LOG10(AC49)-LOG10(X49)))</x:f>
        <x:v>0.35653173735846</x:v>
      </x:c>
      <x:c r="AI49" s="85" t="str">
        <x:f>IF(OR(NOT(ISNUMBER(Y49)),NOT(ISNUMBER(Z49)),NOT(ISNUMBER(AA49)),NOT(ISNUMBER(AB49))),"",IF(AND(Y49&gt;=0.3,Y49&lt;=1.2,Z49&lt;=200,AA49&gt;=1E-4,AB49&lt;=1E-6),"PASS","FAIL"))</x:f>
        <x:v>PASS</x:v>
      </x:c>
      <x:c r="AJ49" s="85" t="str"/>
    </x:row>
    <x:row r="50">
      <x:c r="A50" s="85" t="str">
        <x:v>L0180-49</x:v>
      </x:c>
      <x:c r="B50" s="85" t="str">
        <x:v>LR045</x:v>
      </x:c>
      <x:c r="C50" s="93" t="n">
        <x:v>0.18</x:v>
      </x:c>
      <x:c r="D50" s="93" t="str">
        <x:v>Practical</x:v>
      </x:c>
      <x:c r="E50" s="93" t="n">
        <x:v>1</x:v>
      </x:c>
      <x:c r="F50" s="94" t="n">
        <x:v>19508</x:v>
      </x:c>
      <x:c r="G50" s="93" t="n">
        <x:v>0.7076035680357886</x:v>
      </x:c>
      <x:c r="H50" s="93" t="n">
        <x:v>98.394</x:v>
      </x:c>
      <x:c r="I50" s="95" t="n">
        <x:v>0.00037691253257217486</x:v>
      </x:c>
      <x:c r="J50" s="95" t="n">
        <x:v>9.46940450787463e-12</x:v>
      </x:c>
      <x:c r="K50" s="95" t="n">
        <x:v>39803192.72016941</x:v>
      </x:c>
      <x:c r="L50" s="95" t="n">
        <x:v>519012717116164.6</x:v>
      </x:c>
      <x:c r="M50" s="95" t="n">
        <x:v>17.809756497439324</x:v>
      </x:c>
      <x:c r="N50" s="95" t="n">
        <x:v>153300212776823.5</x:v>
      </x:c>
      <x:c r="O50" s="95" t="n">
        <x:v>24.242816563454</x:v>
      </x:c>
      <x:c r="P50" s="93"/>
      <x:c r="Q50" s="95"/>
      <x:c r="R50" s="95"/>
      <x:c r="S50" s="97" t="n">
        <x:v>0.9966666666666667</x:v>
      </x:c>
      <x:c r="T50" s="93" t="n">
        <x:v>0.7192199999999995</x:v>
      </x:c>
      <x:c r="U50" s="98" t="n">
        <x:v>95.63559830657208</x:v>
      </x:c>
      <x:c r="V50" s="95" t="n">
        <x:v>0.00039071906755238283</x:v>
      </x:c>
      <x:c r="W50" s="95" t="n">
        <x:v>9.585168488631392e-12</x:v>
      </x:c>
      <x:c r="X50" s="95" t="n">
        <x:v>40762879.443986826</x:v>
      </x:c>
      <x:c r="Y50" s="99" t="n">
        <x:f>IFERROR(IF(ISBLANK(INDEX('Long_TCAD'!$H$2:$H$176,MATCH(B50,'Long_TCAD'!$A$2:$A$176,0))),"",INDEX('Long_TCAD'!$H$2:$H$176,MATCH(B50,'Long_TCAD'!$A$2:$A$176,0))),"")</x:f>
        <x:v>0.719</x:v>
      </x:c>
      <x:c r="Z50" s="100" t="n">
        <x:f>IFERROR(IF(ISBLANK(INDEX('Long_TCAD'!$I$2:$I$176,MATCH(B50,'Long_TCAD'!$A$2:$A$176,0))),"",INDEX('Long_TCAD'!$I$2:$I$176,MATCH(B50,'Long_TCAD'!$A$2:$A$176,0))),"")</x:f>
        <x:v>99.259</x:v>
      </x:c>
      <x:c r="AA50" s="96" t="n">
        <x:f>IFERROR(IF(ISBLANK(INDEX('Long_TCAD'!$J$2:$J$176,MATCH(B50,'Long_TCAD'!$A$2:$A$176,0))),"",INDEX('Long_TCAD'!$J$2:$J$176,MATCH(B50,'Long_TCAD'!$A$2:$A$176,0))),"")</x:f>
        <x:v>0.0004106</x:v>
      </x:c>
      <x:c r="AB50" s="96" t="n">
        <x:f>IFERROR(IF(ISBLANK(INDEX('Long_TCAD'!$K$2:$K$176,MATCH(B50,'Long_TCAD'!$A$2:$A$176,0))),"",INDEX('Long_TCAD'!$K$2:$K$176,MATCH(B50,'Long_TCAD'!$A$2:$A$176,0))),"")</x:f>
        <x:v>3.489e-11</x:v>
      </x:c>
      <x:c r="AC50" s="95" t="n">
        <x:f>IF(OR(NOT(ISNUMBER(AA50)),NOT(ISNUMBER(AB50))),"",AA50/AB50)</x:f>
        <x:v>11768415.01862998</x:v>
      </x:c>
      <x:c r="AD50" s="93" t="n">
        <x:f>IF(NOT(ISNUMBER(Y50)),"",ABS(Y50-T50)*1000)</x:f>
        <x:v>0.21999999999955389</x:v>
      </x:c>
      <x:c r="AE50" s="93" t="n">
        <x:f>IF(NOT(ISNUMBER(Z50)),"",ABS(Z50-U50))</x:f>
        <x:v>3.6234016934279225</x:v>
      </x:c>
      <x:c r="AF50" s="93" t="n">
        <x:f>IF(NOT(ISNUMBER(AA50)),"",ABS(LOG10(AA50)-LOG10(V50)))</x:f>
        <x:v>0.02155433920850003</x:v>
      </x:c>
      <x:c r="AG50" s="93" t="n">
        <x:f>IF(NOT(ISNUMBER(AB50)),"",ABS(LOG10(AB50)-LOG10(W50)))</x:f>
        <x:v>0.5611012181141</x:v>
      </x:c>
      <x:c r="AH50" s="93" t="n">
        <x:f>IF(NOT(ISNUMBER(AC50)),"",ABS(LOG10(AC50)-LOG10(X50)))</x:f>
        <x:v>0.5395468789055702</x:v>
      </x:c>
      <x:c r="AI50" s="85" t="str">
        <x:f>IF(OR(NOT(ISNUMBER(Y50)),NOT(ISNUMBER(Z50)),NOT(ISNUMBER(AA50)),NOT(ISNUMBER(AB50))),"",IF(AND(Y50&gt;=0.3,Y50&lt;=1.2,Z50&lt;=200,AA50&gt;=1E-4,AB50&lt;=1E-6),"PASS","FAIL"))</x:f>
        <x:v>PASS</x:v>
      </x:c>
      <x:c r="AJ50" s="85" t="str"/>
    </x:row>
    <x:row r="51">
      <x:c r="A51" s="85" t="str">
        <x:v>L0180-50</x:v>
      </x:c>
      <x:c r="B51" s="85" t="str">
        <x:v>LR046</x:v>
      </x:c>
      <x:c r="C51" s="93" t="n">
        <x:v>0.18</x:v>
      </x:c>
      <x:c r="D51" s="93" t="str">
        <x:v>Practical</x:v>
      </x:c>
      <x:c r="E51" s="93" t="n">
        <x:v>1</x:v>
      </x:c>
      <x:c r="F51" s="94" t="n">
        <x:v>23436</x:v>
      </x:c>
      <x:c r="G51" s="93" t="n">
        <x:v>0.7248746494451536</x:v>
      </x:c>
      <x:c r="H51" s="93" t="n">
        <x:v>88.12482031609434</x:v>
      </x:c>
      <x:c r="I51" s="95" t="n">
        <x:v>0.0003510130688695601</x:v>
      </x:c>
      <x:c r="J51" s="95" t="n">
        <x:v>1.3887711883611682e-12</x:v>
      </x:c>
      <x:c r="K51" s="95" t="n">
        <x:v>252750828.79835388</x:v>
      </x:c>
      <x:c r="L51" s="95" t="n">
        <x:v>435675204989.04584</x:v>
      </x:c>
      <x:c r="M51" s="95" t="n">
        <x:v>43.54135938418011</x:v>
      </x:c>
      <x:c r="N51" s="95" t="n">
        <x:v>4541480625846762</x:v>
      </x:c>
      <x:c r="O51" s="95" t="n">
        <x:v>17.311342671938498</x:v>
      </x:c>
      <x:c r="P51" s="93"/>
      <x:c r="Q51" s="95"/>
      <x:c r="R51" s="95"/>
      <x:c r="S51" s="97" t="n">
        <x:v>1</x:v>
      </x:c>
      <x:c r="T51" s="93" t="n">
        <x:v>0.7315033333333353</x:v>
      </x:c>
      <x:c r="U51" s="98" t="n">
        <x:v>90.36421144769695</x:v>
      </x:c>
      <x:c r="V51" s="95" t="n">
        <x:v>0.00037518600531576043</x:v>
      </x:c>
      <x:c r="W51" s="95" t="n">
        <x:v>1.4067274340964254e-12</x:v>
      </x:c>
      <x:c r="X51" s="95" t="n">
        <x:v>266708387.298035</x:v>
      </x:c>
      <x:c r="Y51" s="99" t="n">
        <x:f>IFERROR(IF(ISBLANK(INDEX('Long_TCAD'!$H$2:$H$176,MATCH(B51,'Long_TCAD'!$A$2:$A$176,0))),"",INDEX('Long_TCAD'!$H$2:$H$176,MATCH(B51,'Long_TCAD'!$A$2:$A$176,0))),"")</x:f>
        <x:v>0.68</x:v>
      </x:c>
      <x:c r="Z51" s="100" t="n">
        <x:f>IFERROR(IF(ISBLANK(INDEX('Long_TCAD'!$I$2:$I$176,MATCH(B51,'Long_TCAD'!$A$2:$A$176,0))),"",INDEX('Long_TCAD'!$I$2:$I$176,MATCH(B51,'Long_TCAD'!$A$2:$A$176,0))),"")</x:f>
        <x:v>98.08</x:v>
      </x:c>
      <x:c r="AA51" s="96" t="n">
        <x:f>IFERROR(IF(ISBLANK(INDEX('Long_TCAD'!$J$2:$J$176,MATCH(B51,'Long_TCAD'!$A$2:$A$176,0))),"",INDEX('Long_TCAD'!$J$2:$J$176,MATCH(B51,'Long_TCAD'!$A$2:$A$176,0))),"")</x:f>
        <x:v>0.000413</x:v>
      </x:c>
      <x:c r="AB51" s="96" t="n">
        <x:f>IFERROR(IF(ISBLANK(INDEX('Long_TCAD'!$K$2:$K$176,MATCH(B51,'Long_TCAD'!$A$2:$A$176,0))),"",INDEX('Long_TCAD'!$K$2:$K$176,MATCH(B51,'Long_TCAD'!$A$2:$A$176,0))),"")</x:f>
        <x:v>1.831e-10</x:v>
      </x:c>
      <x:c r="AC51" s="95" t="n">
        <x:f>IF(OR(NOT(ISNUMBER(AA51)),NOT(ISNUMBER(AB51))),"",AA51/AB51)</x:f>
        <x:v>2255598.033861278</x:v>
      </x:c>
      <x:c r="AD51" s="93" t="n">
        <x:f>IF(NOT(ISNUMBER(Y51)),"",ABS(Y51-T51)*1000)</x:f>
        <x:v>51.503333333335235</x:v>
      </x:c>
      <x:c r="AE51" s="93" t="n">
        <x:f>IF(NOT(ISNUMBER(Z51)),"",ABS(Z51-U51))</x:f>
        <x:v>7.715788552303053</x:v>
      </x:c>
      <x:c r="AF51" s="93" t="n">
        <x:f>IF(NOT(ISNUMBER(AA51)),"",ABS(LOG10(AA51)-LOG10(V51)))</x:f>
        <x:v>0.04170342111646974</x:v>
      </x:c>
      <x:c r="AG51" s="93" t="n">
        <x:f>IF(NOT(ISNUMBER(AB51)),"",ABS(LOG10(AB51)-LOG10(W51)))</x:f>
        <x:v>2.1144783871194015</x:v>
      </x:c>
      <x:c r="AH51" s="93" t="n">
        <x:f>IF(NOT(ISNUMBER(AC51)),"",ABS(LOG10(AC51)-LOG10(X51)))</x:f>
        <x:v>2.07277496600289</x:v>
      </x:c>
      <x:c r="AI51" s="85" t="str">
        <x:f>IF(OR(NOT(ISNUMBER(Y51)),NOT(ISNUMBER(Z51)),NOT(ISNUMBER(AA51)),NOT(ISNUMBER(AB51))),"",IF(AND(Y51&gt;=0.3,Y51&lt;=1.2,Z51&lt;=200,AA51&gt;=1E-4,AB51&lt;=1E-6),"PASS","FAIL"))</x:f>
        <x:v>PASS</x:v>
      </x:c>
      <x:c r="AJ51" s="85" t="str"/>
    </x:row>
    <x:row r="52">
      <x:c r="A52" s="85" t="str">
        <x:v>L0360-01</x:v>
      </x:c>
      <x:c r="B52" s="85" t="str">
        <x:v>LR047</x:v>
      </x:c>
      <x:c r="C52" s="93" t="n">
        <x:v>0.36</x:v>
      </x:c>
      <x:c r="D52" s="93" t="str">
        <x:v>Practical</x:v>
      </x:c>
      <x:c r="E52" s="93" t="n">
        <x:v>1</x:v>
      </x:c>
      <x:c r="F52" s="94" t="n">
        <x:v>329055</x:v>
      </x:c>
      <x:c r="G52" s="93" t="n">
        <x:v>0.8299717766950797</x:v>
      </x:c>
      <x:c r="H52" s="93" t="n">
        <x:v>83.96340533285472</x:v>
      </x:c>
      <x:c r="I52" s="95" t="n">
        <x:v>0.0002669027730279298</x:v>
      </x:c>
      <x:c r="J52" s="95" t="n">
        <x:v>5.122182094586887e-16</x:v>
      </x:c>
      <x:c r="K52" s="95" t="n">
        <x:v>521072402541.0815</x:v>
      </x:c>
      <x:c r="L52" s="95" t="n">
        <x:v>5734907170320.677</x:v>
      </x:c>
      <x:c r="M52" s="95" t="n">
        <x:v>51.989959635069845</x:v>
      </x:c>
      <x:c r="N52" s="95" t="n">
        <x:v>7020640732553696</x:v>
      </x:c>
      <x:c r="O52" s="95" t="n">
        <x:v>23.27492531436406</x:v>
      </x:c>
      <x:c r="P52" s="93"/>
      <x:c r="Q52" s="95"/>
      <x:c r="R52" s="95"/>
      <x:c r="S52" s="97" t="n">
        <x:v>1</x:v>
      </x:c>
      <x:c r="T52" s="93" t="n">
        <x:v>0.8289066666666698</x:v>
      </x:c>
      <x:c r="U52" s="98" t="n">
        <x:v>84.28933579925238</x:v>
      </x:c>
      <x:c r="V52" s="95" t="n">
        <x:v>0.00026490171076273394</x:v>
      </x:c>
      <x:c r="W52" s="95" t="n">
        <x:v>5.0471826688842e-16</x:v>
      </x:c>
      <x:c r="X52" s="95" t="n">
        <x:v>524850650632.9734</x:v>
      </x:c>
      <x:c r="Y52" s="99" t="n">
        <x:f>IFERROR(IF(ISBLANK(INDEX('Long_TCAD'!$H$2:$H$176,MATCH(B52,'Long_TCAD'!$A$2:$A$176,0))),"",INDEX('Long_TCAD'!$H$2:$H$176,MATCH(B52,'Long_TCAD'!$A$2:$A$176,0))),"")</x:f>
        <x:v>0.831</x:v>
      </x:c>
      <x:c r="Z52" s="100" t="n">
        <x:f>IFERROR(IF(ISBLANK(INDEX('Long_TCAD'!$I$2:$I$176,MATCH(B52,'Long_TCAD'!$A$2:$A$176,0))),"",INDEX('Long_TCAD'!$I$2:$I$176,MATCH(B52,'Long_TCAD'!$A$2:$A$176,0))),"")</x:f>
        <x:v>84.221</x:v>
      </x:c>
      <x:c r="AA52" s="96" t="n">
        <x:f>IFERROR(IF(ISBLANK(INDEX('Long_TCAD'!$J$2:$J$176,MATCH(B52,'Long_TCAD'!$A$2:$A$176,0))),"",INDEX('Long_TCAD'!$J$2:$J$176,MATCH(B52,'Long_TCAD'!$A$2:$A$176,0))),"")</x:f>
        <x:v>0.0002671</x:v>
      </x:c>
      <x:c r="AB52" s="96" t="n">
        <x:f>IFERROR(IF(ISBLANK(INDEX('Long_TCAD'!$K$2:$K$176,MATCH(B52,'Long_TCAD'!$A$2:$A$176,0))),"",INDEX('Long_TCAD'!$K$2:$K$176,MATCH(B52,'Long_TCAD'!$A$2:$A$176,0))),"")</x:f>
        <x:v>4.855e-16</x:v>
      </x:c>
      <x:c r="AC52" s="95" t="n">
        <x:f>IF(OR(NOT(ISNUMBER(AA52)),NOT(ISNUMBER(AB52))),"",AA52/AB52)</x:f>
        <x:v>550154479917.6107</x:v>
      </x:c>
      <x:c r="AD52" s="93" t="n">
        <x:f>IF(NOT(ISNUMBER(Y52)),"",ABS(Y52-T52)*1000)</x:f>
        <x:v>2.093333333330172</x:v>
      </x:c>
      <x:c r="AE52" s="93" t="n">
        <x:f>IF(NOT(ISNUMBER(Z52)),"",ABS(Z52-U52))</x:f>
        <x:v>0.06833579925238098</x:v>
      </x:c>
      <x:c r="AF52" s="93" t="n">
        <x:f>IF(NOT(ISNUMBER(AA52)),"",ABS(LOG10(AA52)-LOG10(V52)))</x:f>
        <x:v>0.0035891249962598515</x:v>
      </x:c>
      <x:c r="AG52" s="93" t="n">
        <x:f>IF(NOT(ISNUMBER(AB52)),"",ABS(LOG10(AB52)-LOG10(W52)))</x:f>
        <x:v>0.016859788867499503</x:v>
      </x:c>
      <x:c r="AH52" s="93" t="n">
        <x:f>IF(NOT(ISNUMBER(AC52)),"",ABS(LOG10(AC52)-LOG10(X52)))</x:f>
        <x:v>0.020448913863699403</x:v>
      </x:c>
      <x:c r="AI52" s="85" t="str">
        <x:f>IF(OR(NOT(ISNUMBER(Y52)),NOT(ISNUMBER(Z52)),NOT(ISNUMBER(AA52)),NOT(ISNUMBER(AB52))),"",IF(AND(Y52&gt;=0.3,Y52&lt;=1.2,Z52&lt;=200,AA52&gt;=1E-4,AB52&lt;=1E-6),"PASS","FAIL"))</x:f>
        <x:v>PASS</x:v>
      </x:c>
      <x:c r="AJ52" s="85" t="str"/>
    </x:row>
    <x:row r="53">
      <x:c r="A53" s="85" t="str">
        <x:v>L0360-02</x:v>
      </x:c>
      <x:c r="B53" s="85" t="str">
        <x:v>LR048</x:v>
      </x:c>
      <x:c r="C53" s="93" t="n">
        <x:v>0.36</x:v>
      </x:c>
      <x:c r="D53" s="93" t="str">
        <x:v>Practical</x:v>
      </x:c>
      <x:c r="E53" s="93" t="n">
        <x:v>1</x:v>
      </x:c>
      <x:c r="F53" s="94" t="n">
        <x:v>302518</x:v>
      </x:c>
      <x:c r="G53" s="93" t="n">
        <x:v>0.853701024947201</x:v>
      </x:c>
      <x:c r="H53" s="93" t="n">
        <x:v>83.414</x:v>
      </x:c>
      <x:c r="I53" s="95" t="n">
        <x:v>0.0002481775920031141</x:v>
      </x:c>
      <x:c r="J53" s="95" t="n">
        <x:v>3.480131595921929e-16</x:v>
      </x:c>
      <x:c r="K53" s="95" t="n">
        <x:v>713127033167.172</x:v>
      </x:c>
      <x:c r="L53" s="95" t="n">
        <x:v>147250342470.64697</x:v>
      </x:c>
      <x:c r="M53" s="95" t="n">
        <x:v>61.94720933588978</x:v>
      </x:c>
      <x:c r="N53" s="95" t="n">
        <x:v>13814652665089302</x:v>
      </x:c>
      <x:c r="O53" s="95" t="n">
        <x:v>20.587573522246327</x:v>
      </x:c>
      <x:c r="P53" s="93"/>
      <x:c r="Q53" s="95"/>
      <x:c r="R53" s="95"/>
      <x:c r="S53" s="97" t="n">
        <x:v>1</x:v>
      </x:c>
      <x:c r="T53" s="93" t="n">
        <x:v>0.8464266666666677</x:v>
      </x:c>
      <x:c r="U53" s="98" t="n">
        <x:v>84.86781610811221</x:v>
      </x:c>
      <x:c r="V53" s="95" t="n">
        <x:v>0.0002541144019881501</x:v>
      </x:c>
      <x:c r="W53" s="95" t="n">
        <x:v>3.553293939027048e-16</x:v>
      </x:c>
      <x:c r="X53" s="95" t="n">
        <x:v>715151649001.2953</x:v>
      </x:c>
      <x:c r="Y53" s="99" t="n">
        <x:f>IFERROR(IF(ISBLANK(INDEX('Long_TCAD'!$H$2:$H$176,MATCH(B53,'Long_TCAD'!$A$2:$A$176,0))),"",INDEX('Long_TCAD'!$H$2:$H$176,MATCH(B53,'Long_TCAD'!$A$2:$A$176,0))),"")</x:f>
        <x:v>0.838</x:v>
      </x:c>
      <x:c r="Z53" s="100" t="n">
        <x:f>IFERROR(IF(ISBLANK(INDEX('Long_TCAD'!$I$2:$I$176,MATCH(B53,'Long_TCAD'!$A$2:$A$176,0))),"",INDEX('Long_TCAD'!$I$2:$I$176,MATCH(B53,'Long_TCAD'!$A$2:$A$176,0))),"")</x:f>
        <x:v>84.52</x:v>
      </x:c>
      <x:c r="AA53" s="96" t="n">
        <x:f>IFERROR(IF(ISBLANK(INDEX('Long_TCAD'!$J$2:$J$176,MATCH(B53,'Long_TCAD'!$A$2:$A$176,0))),"",INDEX('Long_TCAD'!$J$2:$J$176,MATCH(B53,'Long_TCAD'!$A$2:$A$176,0))),"")</x:f>
        <x:v>0.0002642</x:v>
      </x:c>
      <x:c r="AB53" s="96" t="n">
        <x:f>IFERROR(IF(ISBLANK(INDEX('Long_TCAD'!$K$2:$K$176,MATCH(B53,'Long_TCAD'!$A$2:$A$176,0))),"",INDEX('Long_TCAD'!$K$2:$K$176,MATCH(B53,'Long_TCAD'!$A$2:$A$176,0))),"")</x:f>
        <x:v>4.239e-16</x:v>
      </x:c>
      <x:c r="AC53" s="95" t="n">
        <x:f>IF(OR(NOT(ISNUMBER(AA53)),NOT(ISNUMBER(AB53))),"",AA53/AB53)</x:f>
        <x:v>623260202878.0374</x:v>
      </x:c>
      <x:c r="AD53" s="93" t="n">
        <x:f>IF(NOT(ISNUMBER(Y53)),"",ABS(Y53-T53)*1000)</x:f>
        <x:v>8.426666666667693</x:v>
      </x:c>
      <x:c r="AE53" s="93" t="n">
        <x:f>IF(NOT(ISNUMBER(Z53)),"",ABS(Z53-U53))</x:f>
        <x:v>0.3478161081122124</x:v>
      </x:c>
      <x:c r="AF53" s="93" t="n">
        <x:f>IF(NOT(ISNUMBER(AA53)),"",ABS(LOG10(AA53)-LOG10(V53)))</x:f>
        <x:v>0.016903533797859804</x:v>
      </x:c>
      <x:c r="AG53" s="93" t="n">
        <x:f>IF(NOT(ISNUMBER(AB53)),"",ABS(LOG10(AB53)-LOG10(W53)))</x:f>
        <x:v>0.07663228146349965</x:v>
      </x:c>
      <x:c r="AH53" s="93" t="n">
        <x:f>IF(NOT(ISNUMBER(AC53)),"",ABS(LOG10(AC53)-LOG10(X53)))</x:f>
        <x:v>0.059728747665701576</x:v>
      </x:c>
      <x:c r="AI53" s="85" t="str">
        <x:f>IF(OR(NOT(ISNUMBER(Y53)),NOT(ISNUMBER(Z53)),NOT(ISNUMBER(AA53)),NOT(ISNUMBER(AB53))),"",IF(AND(Y53&gt;=0.3,Y53&lt;=1.2,Z53&lt;=200,AA53&gt;=1E-4,AB53&lt;=1E-6),"PASS","FAIL"))</x:f>
        <x:v>PASS</x:v>
      </x:c>
      <x:c r="AJ53" s="85" t="str"/>
    </x:row>
    <x:row r="54">
      <x:c r="A54" s="85" t="str">
        <x:v>L0360-03</x:v>
      </x:c>
      <x:c r="B54" s="85" t="str">
        <x:v>LR049</x:v>
      </x:c>
      <x:c r="C54" s="93" t="n">
        <x:v>0.36</x:v>
      </x:c>
      <x:c r="D54" s="93" t="str">
        <x:v>Practical</x:v>
      </x:c>
      <x:c r="E54" s="93" t="n">
        <x:v>1</x:v>
      </x:c>
      <x:c r="F54" s="94" t="n">
        <x:v>304126</x:v>
      </x:c>
      <x:c r="G54" s="93" t="n">
        <x:v>0.8306757107150894</x:v>
      </x:c>
      <x:c r="H54" s="93" t="n">
        <x:v>85.903</x:v>
      </x:c>
      <x:c r="I54" s="95" t="n">
        <x:v>0.0002575584395399882</x:v>
      </x:c>
      <x:c r="J54" s="95" t="n">
        <x:v>3.7729717720106087e-16</x:v>
      </x:c>
      <x:c r="K54" s="95" t="n">
        <x:v>682640780539.7809</x:v>
      </x:c>
      <x:c r="L54" s="95" t="n">
        <x:v>203487018340300</x:v>
      </x:c>
      <x:c r="M54" s="95" t="n">
        <x:v>17.849238296870706</x:v>
      </x:c>
      <x:c r="N54" s="95" t="n">
        <x:v>155429712747756.56</x:v>
      </x:c>
      <x:c r="O54" s="95" t="n">
        <x:v>22.177231473356493</x:v>
      </x:c>
      <x:c r="P54" s="93"/>
      <x:c r="Q54" s="95"/>
      <x:c r="R54" s="95"/>
      <x:c r="S54" s="97" t="n">
        <x:v>1</x:v>
      </x:c>
      <x:c r="T54" s="93" t="n">
        <x:v>0.8402833333333358</x:v>
      </x:c>
      <x:c r="U54" s="98" t="n">
        <x:v>85.22854441865813</x:v>
      </x:c>
      <x:c r="V54" s="95" t="n">
        <x:v>0.000256212261123137</x:v>
      </x:c>
      <x:c r="W54" s="95" t="n">
        <x:v>3.818977211641863e-16</x:v>
      </x:c>
      <x:c r="X54" s="95" t="n">
        <x:v>670892353958.2622</x:v>
      </x:c>
      <x:c r="Y54" s="99" t="n">
        <x:f>IFERROR(IF(ISBLANK(INDEX('Long_TCAD'!$H$2:$H$176,MATCH(B54,'Long_TCAD'!$A$2:$A$176,0))),"",INDEX('Long_TCAD'!$H$2:$H$176,MATCH(B54,'Long_TCAD'!$A$2:$A$176,0))),"")</x:f>
        <x:v>0.848</x:v>
      </x:c>
      <x:c r="Z54" s="100" t="n">
        <x:f>IFERROR(IF(ISBLANK(INDEX('Long_TCAD'!$I$2:$I$176,MATCH(B54,'Long_TCAD'!$A$2:$A$176,0))),"",INDEX('Long_TCAD'!$I$2:$I$176,MATCH(B54,'Long_TCAD'!$A$2:$A$176,0))),"")</x:f>
        <x:v>85.349</x:v>
      </x:c>
      <x:c r="AA54" s="96" t="n">
        <x:f>IFERROR(IF(ISBLANK(INDEX('Long_TCAD'!$J$2:$J$176,MATCH(B54,'Long_TCAD'!$A$2:$A$176,0))),"",INDEX('Long_TCAD'!$J$2:$J$176,MATCH(B54,'Long_TCAD'!$A$2:$A$176,0))),"")</x:f>
        <x:v>0.0002592</x:v>
      </x:c>
      <x:c r="AB54" s="96" t="n">
        <x:f>IFERROR(IF(ISBLANK(INDEX('Long_TCAD'!$K$2:$K$176,MATCH(B54,'Long_TCAD'!$A$2:$A$176,0))),"",INDEX('Long_TCAD'!$K$2:$K$176,MATCH(B54,'Long_TCAD'!$A$2:$A$176,0))),"")</x:f>
        <x:v>3.735e-16</x:v>
      </x:c>
      <x:c r="AC54" s="95" t="n">
        <x:f>IF(OR(NOT(ISNUMBER(AA54)),NOT(ISNUMBER(AB54))),"",AA54/AB54)</x:f>
        <x:v>693975903614.4579</x:v>
      </x:c>
      <x:c r="AD54" s="93" t="n">
        <x:f>IF(NOT(ISNUMBER(Y54)),"",ABS(Y54-T54)*1000)</x:f>
        <x:v>7.7166666666641515</x:v>
      </x:c>
      <x:c r="AE54" s="93" t="n">
        <x:f>IF(NOT(ISNUMBER(Z54)),"",ABS(Z54-U54))</x:f>
        <x:v>0.12045558134187218</x:v>
      </x:c>
      <x:c r="AF54" s="93" t="n">
        <x:f>IF(NOT(ISNUMBER(AA54)),"",ABS(LOG10(AA54)-LOG10(V54)))</x:f>
        <x:v>0.0050350879854197395</x:v>
      </x:c>
      <x:c r="AG54" s="93" t="n">
        <x:f>IF(NOT(ISNUMBER(AB54)),"",ABS(LOG10(AB54)-LOG10(W54)))</x:f>
        <x:v>0.009656460735200767</x:v>
      </x:c>
      <x:c r="AH54" s="93" t="n">
        <x:f>IF(NOT(ISNUMBER(AC54)),"",ABS(LOG10(AC54)-LOG10(X54)))</x:f>
        <x:v>0.014691548720600522</x:v>
      </x:c>
      <x:c r="AI54" s="85" t="str">
        <x:f>IF(OR(NOT(ISNUMBER(Y54)),NOT(ISNUMBER(Z54)),NOT(ISNUMBER(AA54)),NOT(ISNUMBER(AB54))),"",IF(AND(Y54&gt;=0.3,Y54&lt;=1.2,Z54&lt;=200,AA54&gt;=1E-4,AB54&lt;=1E-6),"PASS","FAIL"))</x:f>
        <x:v>PASS</x:v>
      </x:c>
      <x:c r="AJ54" s="85" t="str"/>
    </x:row>
    <x:row r="55">
      <x:c r="A55" s="85" t="str">
        <x:v>L0360-04</x:v>
      </x:c>
      <x:c r="B55" s="85" t="str">
        <x:v>LR050</x:v>
      </x:c>
      <x:c r="C55" s="93" t="n">
        <x:v>0.36</x:v>
      </x:c>
      <x:c r="D55" s="93" t="str">
        <x:v>Practical</x:v>
      </x:c>
      <x:c r="E55" s="93" t="n">
        <x:v>1</x:v>
      </x:c>
      <x:c r="F55" s="94" t="n">
        <x:v>230737</x:v>
      </x:c>
      <x:c r="G55" s="93" t="n">
        <x:v>0.8082664886686032</x:v>
      </x:c>
      <x:c r="H55" s="93" t="n">
        <x:v>83.414</x:v>
      </x:c>
      <x:c r="I55" s="95" t="n">
        <x:v>0.00028769618412370846</x:v>
      </x:c>
      <x:c r="J55" s="95" t="n">
        <x:v>7.50753909864207e-16</x:v>
      </x:c>
      <x:c r="K55" s="95" t="n">
        <x:v>383209704729.67053</x:v>
      </x:c>
      <x:c r="L55" s="95" t="n">
        <x:v>551762197016486.25</x:v>
      </x:c>
      <x:c r="M55" s="95" t="n">
        <x:v>48.18369042587707</x:v>
      </x:c>
      <x:c r="N55" s="95" t="n">
        <x:v>59573162613916744</x:v>
      </x:c>
      <x:c r="O55" s="95" t="n">
        <x:v>12.246571704810474</x:v>
      </x:c>
      <x:c r="P55" s="93"/>
      <x:c r="Q55" s="95"/>
      <x:c r="R55" s="95"/>
      <x:c r="S55" s="97" t="n">
        <x:v>1</x:v>
      </x:c>
      <x:c r="T55" s="93" t="n">
        <x:v>0.8225033333333364</x:v>
      </x:c>
      <x:c r="U55" s="98" t="n">
        <x:v>84.17136202020127</x:v>
      </x:c>
      <x:c r="V55" s="95" t="n">
        <x:v>0.000287573638840163</x:v>
      </x:c>
      <x:c r="W55" s="95" t="n">
        <x:v>7.752807339650217e-16</x:v>
      </x:c>
      <x:c r="X55" s="95" t="n">
        <x:v>370928395665.6886</x:v>
      </x:c>
      <x:c r="Y55" s="99" t="n">
        <x:f>IFERROR(IF(ISBLANK(INDEX('Long_TCAD'!$H$2:$H$176,MATCH(B55,'Long_TCAD'!$A$2:$A$176,0))),"",INDEX('Long_TCAD'!$H$2:$H$176,MATCH(B55,'Long_TCAD'!$A$2:$A$176,0))),"")</x:f>
        <x:v>0.822</x:v>
      </x:c>
      <x:c r="Z55" s="100" t="n">
        <x:f>IFERROR(IF(ISBLANK(INDEX('Long_TCAD'!$I$2:$I$176,MATCH(B55,'Long_TCAD'!$A$2:$A$176,0))),"",INDEX('Long_TCAD'!$I$2:$I$176,MATCH(B55,'Long_TCAD'!$A$2:$A$176,0))),"")</x:f>
        <x:v>84.137</x:v>
      </x:c>
      <x:c r="AA55" s="96" t="n">
        <x:f>IFERROR(IF(ISBLANK(INDEX('Long_TCAD'!$J$2:$J$176,MATCH(B55,'Long_TCAD'!$A$2:$A$176,0))),"",INDEX('Long_TCAD'!$J$2:$J$176,MATCH(B55,'Long_TCAD'!$A$2:$A$176,0))),"")</x:f>
        <x:v>0.0002844</x:v>
      </x:c>
      <x:c r="AB55" s="96" t="n">
        <x:f>IFERROR(IF(ISBLANK(INDEX('Long_TCAD'!$K$2:$K$176,MATCH(B55,'Long_TCAD'!$A$2:$A$176,0))),"",INDEX('Long_TCAD'!$K$2:$K$176,MATCH(B55,'Long_TCAD'!$A$2:$A$176,0))),"")</x:f>
        <x:v>7.997e-16</x:v>
      </x:c>
      <x:c r="AC55" s="95" t="n">
        <x:f>IF(OR(NOT(ISNUMBER(AA55)),NOT(ISNUMBER(AB55))),"",AA55/AB55)</x:f>
        <x:v>355633362510.9416</x:v>
      </x:c>
      <x:c r="AD55" s="93" t="n">
        <x:f>IF(NOT(ISNUMBER(Y55)),"",ABS(Y55-T55)*1000)</x:f>
        <x:v>0.5033333333364087</x:v>
      </x:c>
      <x:c r="AE55" s="93" t="n">
        <x:f>IF(NOT(ISNUMBER(Z55)),"",ABS(Z55-U55))</x:f>
        <x:v>0.03436202020127155</x:v>
      </x:c>
      <x:c r="AF55" s="93" t="n">
        <x:f>IF(NOT(ISNUMBER(AA55)),"",ABS(LOG10(AA55)-LOG10(V55)))</x:f>
        <x:v>0.004819480783280206</x:v>
      </x:c>
      <x:c r="AG55" s="93" t="n">
        <x:f>IF(NOT(ISNUMBER(AB55)),"",ABS(LOG10(AB55)-LOG10(W55)))</x:f>
        <x:v>0.013468104304500628</x:v>
      </x:c>
      <x:c r="AH55" s="93" t="n">
        <x:f>IF(NOT(ISNUMBER(AC55)),"",ABS(LOG10(AC55)-LOG10(X55)))</x:f>
        <x:v>0.01828758508770001</x:v>
      </x:c>
      <x:c r="AI55" s="85" t="str">
        <x:f>IF(OR(NOT(ISNUMBER(Y55)),NOT(ISNUMBER(Z55)),NOT(ISNUMBER(AA55)),NOT(ISNUMBER(AB55))),"",IF(AND(Y55&gt;=0.3,Y55&lt;=1.2,Z55&lt;=200,AA55&gt;=1E-4,AB55&lt;=1E-6),"PASS","FAIL"))</x:f>
        <x:v>PASS</x:v>
      </x:c>
      <x:c r="AJ55" s="85" t="str"/>
    </x:row>
    <x:row r="56">
      <x:c r="A56" s="85" t="str">
        <x:v>L0360-05</x:v>
      </x:c>
      <x:c r="B56" s="85" t="str">
        <x:v>LR051</x:v>
      </x:c>
      <x:c r="C56" s="93" t="n">
        <x:v>0.36</x:v>
      </x:c>
      <x:c r="D56" s="93" t="str">
        <x:v>Practical</x:v>
      </x:c>
      <x:c r="E56" s="93" t="n">
        <x:v>1</x:v>
      </x:c>
      <x:c r="F56" s="94" t="n">
        <x:v>309980</x:v>
      </x:c>
      <x:c r="G56" s="93" t="n">
        <x:v>0.837008101434239</x:v>
      </x:c>
      <x:c r="H56" s="93" t="n">
        <x:v>85.903</x:v>
      </x:c>
      <x:c r="I56" s="95" t="n">
        <x:v>0.00025637920282911314</x:v>
      </x:c>
      <x:c r="J56" s="95" t="n">
        <x:v>4.625272262059479e-16</x:v>
      </x:c>
      <x:c r="K56" s="95" t="n">
        <x:v>554300781236.5105</x:v>
      </x:c>
      <x:c r="L56" s="95" t="n">
        <x:v>543504359317450.1</x:v>
      </x:c>
      <x:c r="M56" s="95" t="n">
        <x:v>17.39719831277729</x:v>
      </x:c>
      <x:c r="N56" s="95" t="n">
        <x:v>264424840289577.8</x:v>
      </x:c>
      <x:c r="O56" s="95" t="n">
        <x:v>37.02821707792769</x:v>
      </x:c>
      <x:c r="P56" s="93"/>
      <x:c r="Q56" s="95"/>
      <x:c r="R56" s="95"/>
      <x:c r="S56" s="97" t="n">
        <x:v>0.99</x:v>
      </x:c>
      <x:c r="T56" s="93" t="n">
        <x:v>0.8315466666666639</x:v>
      </x:c>
      <x:c r="U56" s="98" t="n">
        <x:v>84.99956427787944</x:v>
      </x:c>
      <x:c r="V56" s="95" t="n">
        <x:v>0.0002595793030678043</x:v>
      </x:c>
      <x:c r="W56" s="95" t="n">
        <x:v>4.656018671536069e-16</x:v>
      </x:c>
      <x:c r="X56" s="95" t="n">
        <x:v>557513449537.2769</x:v>
      </x:c>
      <x:c r="Y56" s="99" t="n">
        <x:f>IFERROR(IF(ISBLANK(INDEX('Long_TCAD'!$H$2:$H$176,MATCH(B56,'Long_TCAD'!$A$2:$A$176,0))),"",INDEX('Long_TCAD'!$H$2:$H$176,MATCH(B56,'Long_TCAD'!$A$2:$A$176,0))),"")</x:f>
        <x:v>0.843</x:v>
      </x:c>
      <x:c r="Z56" s="100" t="n">
        <x:f>IFERROR(IF(ISBLANK(INDEX('Long_TCAD'!$I$2:$I$176,MATCH(B56,'Long_TCAD'!$A$2:$A$176,0))),"",INDEX('Long_TCAD'!$I$2:$I$176,MATCH(B56,'Long_TCAD'!$A$2:$A$176,0))),"")</x:f>
        <x:v>85.222</x:v>
      </x:c>
      <x:c r="AA56" s="96" t="n">
        <x:f>IFERROR(IF(ISBLANK(INDEX('Long_TCAD'!$J$2:$J$176,MATCH(B56,'Long_TCAD'!$A$2:$A$176,0))),"",INDEX('Long_TCAD'!$J$2:$J$176,MATCH(B56,'Long_TCAD'!$A$2:$A$176,0))),"")</x:f>
        <x:v>0.000269</x:v>
      </x:c>
      <x:c r="AB56" s="96" t="n">
        <x:f>IFERROR(IF(ISBLANK(INDEX('Long_TCAD'!$K$2:$K$176,MATCH(B56,'Long_TCAD'!$A$2:$A$176,0))),"",INDEX('Long_TCAD'!$K$2:$K$176,MATCH(B56,'Long_TCAD'!$A$2:$A$176,0))),"")</x:f>
        <x:v>4.675e-16</x:v>
      </x:c>
      <x:c r="AC56" s="95" t="n">
        <x:f>IF(OR(NOT(ISNUMBER(AA56)),NOT(ISNUMBER(AB56))),"",AA56/AB56)</x:f>
        <x:v>575401069518.7166</x:v>
      </x:c>
      <x:c r="AD56" s="93" t="n">
        <x:f>IF(NOT(ISNUMBER(Y56)),"",ABS(Y56-T56)*1000)</x:f>
        <x:v>11.45333333333609</x:v>
      </x:c>
      <x:c r="AE56" s="93" t="n">
        <x:f>IF(NOT(ISNUMBER(Z56)),"",ABS(Z56-U56))</x:f>
        <x:v>0.22243572212055085</x:v>
      </x:c>
      <x:c r="AF56" s="93" t="n">
        <x:f>IF(NOT(ISNUMBER(AA56)),"",ABS(LOG10(AA56)-LOG10(V56)))</x:f>
        <x:v>0.015482217920979924</x:v>
      </x:c>
      <x:c r="AG56" s="93" t="n">
        <x:f>IF(NOT(ISNUMBER(AB56)),"",ABS(LOG10(AB56)-LOG10(W56)))</x:f>
        <x:v>0.0017669019582005063</x:v>
      </x:c>
      <x:c r="AH56" s="93" t="n">
        <x:f>IF(NOT(ISNUMBER(AC56)),"",ABS(LOG10(AC56)-LOG10(X56)))</x:f>
        <x:v>0.013715315962700814</x:v>
      </x:c>
      <x:c r="AI56" s="85" t="str">
        <x:f>IF(OR(NOT(ISNUMBER(Y56)),NOT(ISNUMBER(Z56)),NOT(ISNUMBER(AA56)),NOT(ISNUMBER(AB56))),"",IF(AND(Y56&gt;=0.3,Y56&lt;=1.2,Z56&lt;=200,AA56&gt;=1E-4,AB56&lt;=1E-6),"PASS","FAIL"))</x:f>
        <x:v>PASS</x:v>
      </x:c>
      <x:c r="AJ56" s="85" t="str"/>
    </x:row>
    <x:row r="57">
      <x:c r="A57" s="85" t="str">
        <x:v>L0360-06</x:v>
      </x:c>
      <x:c r="B57" s="85" t="str">
        <x:v>LR052</x:v>
      </x:c>
      <x:c r="C57" s="93" t="n">
        <x:v>0.36</x:v>
      </x:c>
      <x:c r="D57" s="93" t="str">
        <x:v>Practical</x:v>
      </x:c>
      <x:c r="E57" s="93" t="n">
        <x:v>1</x:v>
      </x:c>
      <x:c r="F57" s="94" t="n">
        <x:v>316528</x:v>
      </x:c>
      <x:c r="G57" s="93" t="n">
        <x:v>0.8174170710711144</x:v>
      </x:c>
      <x:c r="H57" s="93" t="n">
        <x:v>85.76937103671165</x:v>
      </x:c>
      <x:c r="I57" s="95" t="n">
        <x:v>0.00023368391729173922</x:v>
      </x:c>
      <x:c r="J57" s="95" t="n">
        <x:v>5.734935690153848e-16</x:v>
      </x:c>
      <x:c r="K57" s="95" t="n">
        <x:v>407474346561.4526</x:v>
      </x:c>
      <x:c r="L57" s="95" t="n">
        <x:v>7844704776704.595</x:v>
      </x:c>
      <x:c r="M57" s="95" t="n">
        <x:v>41.746845761853116</x:v>
      </x:c>
      <x:c r="N57" s="95" t="n">
        <x:v>414083503541299.9</x:v>
      </x:c>
      <x:c r="O57" s="95" t="n">
        <x:v>36.36612399895629</x:v>
      </x:c>
      <x:c r="P57" s="93"/>
      <x:c r="Q57" s="95"/>
      <x:c r="R57" s="95"/>
      <x:c r="S57" s="97" t="n">
        <x:v>1</x:v>
      </x:c>
      <x:c r="T57" s="93" t="n">
        <x:v>0.8172633333333349</x:v>
      </x:c>
      <x:c r="U57" s="98" t="n">
        <x:v>84.28931872384237</x:v>
      </x:c>
      <x:c r="V57" s="95" t="n">
        <x:v>0.0002453167445694816</x:v>
      </x:c>
      <x:c r="W57" s="95" t="n">
        <x:v>5.782039417332624e-16</x:v>
      </x:c>
      <x:c r="X57" s="95" t="n">
        <x:v>424273732610.8569</x:v>
      </x:c>
      <x:c r="Y57" s="99" t="n">
        <x:f>IFERROR(IF(ISBLANK(INDEX('Long_TCAD'!$H$2:$H$176,MATCH(B57,'Long_TCAD'!$A$2:$A$176,0))),"",INDEX('Long_TCAD'!$H$2:$H$176,MATCH(B57,'Long_TCAD'!$A$2:$A$176,0))),"")</x:f>
        <x:v>0.825</x:v>
      </x:c>
      <x:c r="Z57" s="100" t="n">
        <x:f>IFERROR(IF(ISBLANK(INDEX('Long_TCAD'!$I$2:$I$176,MATCH(B57,'Long_TCAD'!$A$2:$A$176,0))),"",INDEX('Long_TCAD'!$I$2:$I$176,MATCH(B57,'Long_TCAD'!$A$2:$A$176,0))),"")</x:f>
        <x:v>84.454</x:v>
      </x:c>
      <x:c r="AA57" s="96" t="n">
        <x:f>IFERROR(IF(ISBLANK(INDEX('Long_TCAD'!$J$2:$J$176,MATCH(B57,'Long_TCAD'!$A$2:$A$176,0))),"",INDEX('Long_TCAD'!$J$2:$J$176,MATCH(B57,'Long_TCAD'!$A$2:$A$176,0))),"")</x:f>
        <x:v>0.000253</x:v>
      </x:c>
      <x:c r="AB57" s="96" t="n">
        <x:f>IFERROR(IF(ISBLANK(INDEX('Long_TCAD'!$K$2:$K$176,MATCH(B57,'Long_TCAD'!$A$2:$A$176,0))),"",INDEX('Long_TCAD'!$K$2:$K$176,MATCH(B57,'Long_TCAD'!$A$2:$A$176,0))),"")</x:f>
        <x:v>4.768e-16</x:v>
      </x:c>
      <x:c r="AC57" s="95" t="n">
        <x:f>IF(OR(NOT(ISNUMBER(AA57)),NOT(ISNUMBER(AB57))),"",AA57/AB57)</x:f>
        <x:v>530620805369.12756</x:v>
      </x:c>
      <x:c r="AD57" s="93" t="n">
        <x:f>IF(NOT(ISNUMBER(Y57)),"",ABS(Y57-T57)*1000)</x:f>
        <x:v>7.73666666666506</x:v>
      </x:c>
      <x:c r="AE57" s="93" t="n">
        <x:f>IF(NOT(ISNUMBER(Z57)),"",ABS(Z57-U57))</x:f>
        <x:v>0.16468127615762285</x:v>
      </x:c>
      <x:c r="AF57" s="93" t="n">
        <x:f>IF(NOT(ISNUMBER(AA57)),"",ABS(LOG10(AA57)-LOG10(V57)))</x:f>
        <x:v>0.013393328346780198</x:v>
      </x:c>
      <x:c r="AG57" s="93" t="n">
        <x:f>IF(NOT(ISNUMBER(AB57)),"",ABS(LOG10(AB57)-LOG10(W57)))</x:f>
        <x:v>0.08374480128589923</x:v>
      </x:c>
      <x:c r="AH57" s="93" t="n">
        <x:f>IF(NOT(ISNUMBER(AC57)),"",ABS(LOG10(AC57)-LOG10(X57)))</x:f>
        <x:v>0.09713812963260082</x:v>
      </x:c>
      <x:c r="AI57" s="85" t="str">
        <x:f>IF(OR(NOT(ISNUMBER(Y57)),NOT(ISNUMBER(Z57)),NOT(ISNUMBER(AA57)),NOT(ISNUMBER(AB57))),"",IF(AND(Y57&gt;=0.3,Y57&lt;=1.2,Z57&lt;=200,AA57&gt;=1E-4,AB57&lt;=1E-6),"PASS","FAIL"))</x:f>
        <x:v>PASS</x:v>
      </x:c>
      <x:c r="AJ57" s="85" t="str"/>
    </x:row>
    <x:row r="58">
      <x:c r="A58" s="85" t="str">
        <x:v>L0360-07</x:v>
      </x:c>
      <x:c r="B58" s="85" t="str">
        <x:v>LR053</x:v>
      </x:c>
      <x:c r="C58" s="93" t="n">
        <x:v>0.36</x:v>
      </x:c>
      <x:c r="D58" s="93" t="str">
        <x:v>Practical</x:v>
      </x:c>
      <x:c r="E58" s="93" t="n">
        <x:v>1</x:v>
      </x:c>
      <x:c r="F58" s="94" t="n">
        <x:v>288165</x:v>
      </x:c>
      <x:c r="G58" s="93" t="n">
        <x:v>0.82672810659669</x:v>
      </x:c>
      <x:c r="H58" s="93" t="n">
        <x:v>83.414</x:v>
      </x:c>
      <x:c r="I58" s="95" t="n">
        <x:v>0.0002817715466382682</x:v>
      </x:c>
      <x:c r="J58" s="95" t="n">
        <x:v>6.484806036551608e-16</x:v>
      </x:c>
      <x:c r="K58" s="95" t="n">
        <x:v>434510369392.7974</x:v>
      </x:c>
      <x:c r="L58" s="95" t="n">
        <x:v>382700114479849.6</x:v>
      </x:c>
      <x:c r="M58" s="95" t="n">
        <x:v>17.180318420721438</x:v>
      </x:c>
      <x:c r="N58" s="95" t="n">
        <x:v>149946647361939230</x:v>
      </x:c>
      <x:c r="O58" s="95" t="n">
        <x:v>17.15140075498345</x:v>
      </x:c>
      <x:c r="P58" s="93"/>
      <x:c r="Q58" s="95"/>
      <x:c r="R58" s="95"/>
      <x:c r="S58" s="97" t="n">
        <x:v>0.9966666666666667</x:v>
      </x:c>
      <x:c r="T58" s="93" t="n">
        <x:v>0.8237333333333379</x:v>
      </x:c>
      <x:c r="U58" s="98" t="n">
        <x:v>84.0752180647025</x:v>
      </x:c>
      <x:c r="V58" s="95" t="n">
        <x:v>0.00028219820974954965</x:v>
      </x:c>
      <x:c r="W58" s="95" t="n">
        <x:v>6.493052488994984e-16</x:v>
      </x:c>
      <x:c r="X58" s="95" t="n">
        <x:v>434615629902.64575</x:v>
      </x:c>
      <x:c r="Y58" s="99" t="n">
        <x:f>IFERROR(IF(ISBLANK(INDEX('Long_TCAD'!$H$2:$H$176,MATCH(B58,'Long_TCAD'!$A$2:$A$176,0))),"",INDEX('Long_TCAD'!$H$2:$H$176,MATCH(B58,'Long_TCAD'!$A$2:$A$176,0))),"")</x:f>
        <x:v>0.806</x:v>
      </x:c>
      <x:c r="Z58" s="100" t="n">
        <x:f>IFERROR(IF(ISBLANK(INDEX('Long_TCAD'!$I$2:$I$176,MATCH(B58,'Long_TCAD'!$A$2:$A$176,0))),"",INDEX('Long_TCAD'!$I$2:$I$176,MATCH(B58,'Long_TCAD'!$A$2:$A$176,0))),"")</x:f>
        <x:v>83.852</x:v>
      </x:c>
      <x:c r="AA58" s="96" t="n">
        <x:f>IFERROR(IF(ISBLANK(INDEX('Long_TCAD'!$J$2:$J$176,MATCH(B58,'Long_TCAD'!$A$2:$A$176,0))),"",INDEX('Long_TCAD'!$J$2:$J$176,MATCH(B58,'Long_TCAD'!$A$2:$A$176,0))),"")</x:f>
        <x:v>0.0002973</x:v>
      </x:c>
      <x:c r="AB58" s="96" t="n">
        <x:f>IFERROR(IF(ISBLANK(INDEX('Long_TCAD'!$K$2:$K$176,MATCH(B58,'Long_TCAD'!$A$2:$A$176,0))),"",INDEX('Long_TCAD'!$K$2:$K$176,MATCH(B58,'Long_TCAD'!$A$2:$A$176,0))),"")</x:f>
        <x:v>1.27e-15</x:v>
      </x:c>
      <x:c r="AC58" s="95" t="n">
        <x:f>IF(OR(NOT(ISNUMBER(AA58)),NOT(ISNUMBER(AB58))),"",AA58/AB58)</x:f>
        <x:v>234094488188.9764</x:v>
      </x:c>
      <x:c r="AD58" s="93" t="n">
        <x:f>IF(NOT(ISNUMBER(Y58)),"",ABS(Y58-T58)*1000)</x:f>
        <x:v>17.733333333337818</x:v>
      </x:c>
      <x:c r="AE58" s="93" t="n">
        <x:f>IF(NOT(ISNUMBER(Z58)),"",ABS(Z58-U58))</x:f>
        <x:v>0.22321806470249328</x:v>
      </x:c>
      <x:c r="AF58" s="93" t="n">
        <x:f>IF(NOT(ISNUMBER(AA58)),"",ABS(LOG10(AA58)-LOG10(V58)))</x:f>
        <x:v>0.022640654918990144</x:v>
      </x:c>
      <x:c r="AG58" s="93" t="n">
        <x:f>IF(NOT(ISNUMBER(AB58)),"",ABS(LOG10(AB58)-LOG10(W58)))</x:f>
        <x:v>0.2913548072887</x:v>
      </x:c>
      <x:c r="AH58" s="93" t="n">
        <x:f>IF(NOT(ISNUMBER(AC58)),"",ABS(LOG10(AC58)-LOG10(X58)))</x:f>
        <x:v>0.2687141523697001</x:v>
      </x:c>
      <x:c r="AI58" s="85" t="str">
        <x:f>IF(OR(NOT(ISNUMBER(Y58)),NOT(ISNUMBER(Z58)),NOT(ISNUMBER(AA58)),NOT(ISNUMBER(AB58))),"",IF(AND(Y58&gt;=0.3,Y58&lt;=1.2,Z58&lt;=200,AA58&gt;=1E-4,AB58&lt;=1E-6),"PASS","FAIL"))</x:f>
        <x:v>PASS</x:v>
      </x:c>
      <x:c r="AJ58" s="85" t="str"/>
    </x:row>
    <x:row r="59">
      <x:c r="A59" s="85" t="str">
        <x:v>L0360-08</x:v>
      </x:c>
      <x:c r="B59" s="85" t="str">
        <x:v>LR054</x:v>
      </x:c>
      <x:c r="C59" s="93" t="n">
        <x:v>0.36</x:v>
      </x:c>
      <x:c r="D59" s="93" t="str">
        <x:v>Practical</x:v>
      </x:c>
      <x:c r="E59" s="93" t="n">
        <x:v>1</x:v>
      </x:c>
      <x:c r="F59" s="94" t="n">
        <x:v>251365</x:v>
      </x:c>
      <x:c r="G59" s="93" t="n">
        <x:v>0.8548836385507447</x:v>
      </x:c>
      <x:c r="H59" s="93" t="n">
        <x:v>84.39938816301908</x:v>
      </x:c>
      <x:c r="I59" s="95" t="n">
        <x:v>0.00027020905845503393</x:v>
      </x:c>
      <x:c r="J59" s="95" t="n">
        <x:v>2.9817043917792415e-16</x:v>
      </x:c>
      <x:c r="K59" s="95" t="n">
        <x:v>906223498211.3531</x:v>
      </x:c>
      <x:c r="L59" s="95" t="n">
        <x:v>235075106731321.97</x:v>
      </x:c>
      <x:c r="M59" s="95" t="n">
        <x:v>14.700066687661074</x:v>
      </x:c>
      <x:c r="N59" s="95" t="n">
        <x:v>654703469669687.6</x:v>
      </x:c>
      <x:c r="O59" s="95" t="n">
        <x:v>11.593929204584875</x:v>
      </x:c>
      <x:c r="P59" s="93"/>
      <x:c r="Q59" s="95"/>
      <x:c r="R59" s="95"/>
      <x:c r="S59" s="97" t="n">
        <x:v>1</x:v>
      </x:c>
      <x:c r="T59" s="93" t="n">
        <x:v>0.8567033333333323</x:v>
      </x:c>
      <x:c r="U59" s="98" t="n">
        <x:v>85.66035361172565</x:v>
      </x:c>
      <x:c r="V59" s="95" t="n">
        <x:v>0.00025421693368136706</x:v>
      </x:c>
      <x:c r="W59" s="95" t="n">
        <x:v>3.0294621775257646e-16</x:v>
      </x:c>
      <x:c r="X59" s="95" t="n">
        <x:v>839148729326.577</x:v>
      </x:c>
      <x:c r="Y59" s="99" t="n">
        <x:f>IFERROR(IF(ISBLANK(INDEX('Long_TCAD'!$H$2:$H$176,MATCH(B59,'Long_TCAD'!$A$2:$A$176,0))),"",INDEX('Long_TCAD'!$H$2:$H$176,MATCH(B59,'Long_TCAD'!$A$2:$A$176,0))),"")</x:f>
        <x:v>0.853</x:v>
      </x:c>
      <x:c r="Z59" s="100" t="n">
        <x:f>IFERROR(IF(ISBLANK(INDEX('Long_TCAD'!$I$2:$I$176,MATCH(B59,'Long_TCAD'!$A$2:$A$176,0))),"",INDEX('Long_TCAD'!$I$2:$I$176,MATCH(B59,'Long_TCAD'!$A$2:$A$176,0))),"")</x:f>
        <x:v>85.454</x:v>
      </x:c>
      <x:c r="AA59" s="96" t="n">
        <x:f>IFERROR(IF(ISBLANK(INDEX('Long_TCAD'!$J$2:$J$176,MATCH(B59,'Long_TCAD'!$A$2:$A$176,0))),"",INDEX('Long_TCAD'!$J$2:$J$176,MATCH(B59,'Long_TCAD'!$A$2:$A$176,0))),"")</x:f>
        <x:v>0.0002603</x:v>
      </x:c>
      <x:c r="AB59" s="96" t="n">
        <x:f>IFERROR(IF(ISBLANK(INDEX('Long_TCAD'!$K$2:$K$176,MATCH(B59,'Long_TCAD'!$A$2:$A$176,0))),"",INDEX('Long_TCAD'!$K$2:$K$176,MATCH(B59,'Long_TCAD'!$A$2:$A$176,0))),"")</x:f>
        <x:v>3.499e-16</x:v>
      </x:c>
      <x:c r="AC59" s="95" t="n">
        <x:f>IF(OR(NOT(ISNUMBER(AA59)),NOT(ISNUMBER(AB59))),"",AA59/AB59)</x:f>
        <x:v>743926836238.9254</x:v>
      </x:c>
      <x:c r="AD59" s="93" t="n">
        <x:f>IF(NOT(ISNUMBER(Y59)),"",ABS(Y59-T59)*1000)</x:f>
        <x:v>3.7033333333322815</x:v>
      </x:c>
      <x:c r="AE59" s="93" t="n">
        <x:f>IF(NOT(ISNUMBER(Z59)),"",ABS(Z59-U59))</x:f>
        <x:v>0.20635361172566036</x:v>
      </x:c>
      <x:c r="AF59" s="93" t="n">
        <x:f>IF(NOT(ISNUMBER(AA59)),"",ABS(LOG10(AA59)-LOG10(V59)))</x:f>
        <x:v>0.010269692074429848</x:v>
      </x:c>
      <x:c r="AG59" s="93" t="n">
        <x:f>IF(NOT(ISNUMBER(AB59)),"",ABS(LOG10(AB59)-LOG10(W59)))</x:f>
        <x:v>0.06257840773139911</x:v>
      </x:c>
      <x:c r="AH59" s="93" t="n">
        <x:f>IF(NOT(ISNUMBER(AC59)),"",ABS(LOG10(AC59)-LOG10(X59)))</x:f>
        <x:v>0.05230871565700035</x:v>
      </x:c>
      <x:c r="AI59" s="85" t="str">
        <x:f>IF(OR(NOT(ISNUMBER(Y59)),NOT(ISNUMBER(Z59)),NOT(ISNUMBER(AA59)),NOT(ISNUMBER(AB59))),"",IF(AND(Y59&gt;=0.3,Y59&lt;=1.2,Z59&lt;=200,AA59&gt;=1E-4,AB59&lt;=1E-6),"PASS","FAIL"))</x:f>
        <x:v>PASS</x:v>
      </x:c>
      <x:c r="AJ59" s="85" t="str"/>
    </x:row>
    <x:row r="60">
      <x:c r="A60" s="85" t="str">
        <x:v>L0360-09</x:v>
      </x:c>
      <x:c r="B60" s="85" t="str">
        <x:v>LR055</x:v>
      </x:c>
      <x:c r="C60" s="93" t="n">
        <x:v>0.36</x:v>
      </x:c>
      <x:c r="D60" s="93" t="str">
        <x:v>Practical</x:v>
      </x:c>
      <x:c r="E60" s="93" t="n">
        <x:v>1</x:v>
      </x:c>
      <x:c r="F60" s="94" t="n">
        <x:v>330688</x:v>
      </x:c>
      <x:c r="G60" s="93" t="n">
        <x:v>0.8372379084216597</x:v>
      </x:c>
      <x:c r="H60" s="93" t="n">
        <x:v>83.414</x:v>
      </x:c>
      <x:c r="I60" s="95" t="n">
        <x:v>0.0002853387262538799</x:v>
      </x:c>
      <x:c r="J60" s="95" t="n">
        <x:v>5.038982707634397e-16</x:v>
      </x:c>
      <x:c r="K60" s="95" t="n">
        <x:v>566262562920.8303</x:v>
      </x:c>
      <x:c r="L60" s="95" t="n">
        <x:v>945871863760745.8</x:v>
      </x:c>
      <x:c r="M60" s="95" t="n">
        <x:v>10.512779491916577</x:v>
      </x:c>
      <x:c r="N60" s="95" t="n">
        <x:v>14782299272201672</x:v>
      </x:c>
      <x:c r="O60" s="95" t="n">
        <x:v>30.80197544670376</x:v>
      </x:c>
      <x:c r="P60" s="93"/>
      <x:c r="Q60" s="95"/>
      <x:c r="R60" s="95"/>
      <x:c r="S60" s="97" t="n">
        <x:v>1</x:v>
      </x:c>
      <x:c r="T60" s="93" t="n">
        <x:v>0.8379199999999972</x:v>
      </x:c>
      <x:c r="U60" s="98" t="n">
        <x:v>84.61613672144217</x:v>
      </x:c>
      <x:c r="V60" s="95" t="n">
        <x:v>0.000275522063496841</x:v>
      </x:c>
      <x:c r="W60" s="95" t="n">
        <x:v>5.058562814679831e-16</x:v>
      </x:c>
      <x:c r="X60" s="95" t="n">
        <x:v>544664707330.07886</x:v>
      </x:c>
      <x:c r="Y60" s="99" t="n">
        <x:f>IFERROR(IF(ISBLANK(INDEX('Long_TCAD'!$H$2:$H$176,MATCH(B60,'Long_TCAD'!$A$2:$A$176,0))),"",INDEX('Long_TCAD'!$H$2:$H$176,MATCH(B60,'Long_TCAD'!$A$2:$A$176,0))),"")</x:f>
        <x:v>0.819</x:v>
      </x:c>
      <x:c r="Z60" s="100" t="n">
        <x:f>IFERROR(IF(ISBLANK(INDEX('Long_TCAD'!$I$2:$I$176,MATCH(B60,'Long_TCAD'!$A$2:$A$176,0))),"",INDEX('Long_TCAD'!$I$2:$I$176,MATCH(B60,'Long_TCAD'!$A$2:$A$176,0))),"")</x:f>
        <x:v>84.026</x:v>
      </x:c>
      <x:c r="AA60" s="96" t="n">
        <x:f>IFERROR(IF(ISBLANK(INDEX('Long_TCAD'!$J$2:$J$176,MATCH(B60,'Long_TCAD'!$A$2:$A$176,0))),"",INDEX('Long_TCAD'!$J$2:$J$176,MATCH(B60,'Long_TCAD'!$A$2:$A$176,0))),"")</x:f>
        <x:v>0.0002869</x:v>
      </x:c>
      <x:c r="AB60" s="96" t="n">
        <x:f>IFERROR(IF(ISBLANK(INDEX('Long_TCAD'!$K$2:$K$176,MATCH(B60,'Long_TCAD'!$A$2:$A$176,0))),"",INDEX('Long_TCAD'!$K$2:$K$176,MATCH(B60,'Long_TCAD'!$A$2:$A$176,0))),"")</x:f>
        <x:v>8.848e-16</x:v>
      </x:c>
      <x:c r="AC60" s="95" t="n">
        <x:f>IF(OR(NOT(ISNUMBER(AA60)),NOT(ISNUMBER(AB60))),"",AA60/AB60)</x:f>
        <x:v>324254068716.094</x:v>
      </x:c>
      <x:c r="AD60" s="93" t="n">
        <x:f>IF(NOT(ISNUMBER(Y60)),"",ABS(Y60-T60)*1000)</x:f>
        <x:v>18.919999999997273</x:v>
      </x:c>
      <x:c r="AE60" s="93" t="n">
        <x:f>IF(NOT(ISNUMBER(Z60)),"",ABS(Z60-U60))</x:f>
        <x:v>0.5901367214421782</x:v>
      </x:c>
      <x:c r="AF60" s="93" t="n">
        <x:f>IF(NOT(ISNUMBER(AA60)),"",ABS(LOG10(AA60)-LOG10(V60)))</x:f>
        <x:v>0.017574165852169976</x:v>
      </x:c>
      <x:c r="AG60" s="93" t="n">
        <x:f>IF(NOT(ISNUMBER(AB60)),"",ABS(LOG10(AB60)-LOG10(W60)))</x:f>
        <x:v>0.24281796674740086</x:v>
      </x:c>
      <x:c r="AH60" s="93" t="n">
        <x:f>IF(NOT(ISNUMBER(AC60)),"",ABS(LOG10(AC60)-LOG10(X60)))</x:f>
        <x:v>0.22524380089529927</x:v>
      </x:c>
      <x:c r="AI60" s="85" t="str">
        <x:f>IF(OR(NOT(ISNUMBER(Y60)),NOT(ISNUMBER(Z60)),NOT(ISNUMBER(AA60)),NOT(ISNUMBER(AB60))),"",IF(AND(Y60&gt;=0.3,Y60&lt;=1.2,Z60&lt;=200,AA60&gt;=1E-4,AB60&lt;=1E-6),"PASS","FAIL"))</x:f>
        <x:v>PASS</x:v>
      </x:c>
      <x:c r="AJ60" s="85" t="str"/>
    </x:row>
    <x:row r="61">
      <x:c r="A61" s="85" t="str">
        <x:v>L0360-10</x:v>
      </x:c>
      <x:c r="B61" s="85" t="str">
        <x:v>LR056</x:v>
      </x:c>
      <x:c r="C61" s="93" t="n">
        <x:v>0.36</x:v>
      </x:c>
      <x:c r="D61" s="93" t="str">
        <x:v>Practical</x:v>
      </x:c>
      <x:c r="E61" s="93" t="n">
        <x:v>1</x:v>
      </x:c>
      <x:c r="F61" s="94" t="n">
        <x:v>303533</x:v>
      </x:c>
      <x:c r="G61" s="93" t="n">
        <x:v>0.8101662700293183</x:v>
      </x:c>
      <x:c r="H61" s="93" t="n">
        <x:v>83.414</x:v>
      </x:c>
      <x:c r="I61" s="95" t="n">
        <x:v>0.00026074391242768497</x:v>
      </x:c>
      <x:c r="J61" s="95" t="n">
        <x:v>6.109385229123093e-16</x:v>
      </x:c>
      <x:c r="K61" s="95" t="n">
        <x:v>426792390148.73956</x:v>
      </x:c>
      <x:c r="L61" s="95" t="n">
        <x:v>6925895389452.814</x:v>
      </x:c>
      <x:c r="M61" s="95" t="n">
        <x:v>67.09083123103335</x:v>
      </x:c>
      <x:c r="N61" s="95" t="n">
        <x:v>2851038769929508</x:v>
      </x:c>
      <x:c r="O61" s="95" t="n">
        <x:v>26.46930978284779</x:v>
      </x:c>
      <x:c r="P61" s="93"/>
      <x:c r="Q61" s="95"/>
      <x:c r="R61" s="95"/>
      <x:c r="S61" s="97" t="n">
        <x:v>1</x:v>
      </x:c>
      <x:c r="T61" s="93" t="n">
        <x:v>0.8151633333333339</x:v>
      </x:c>
      <x:c r="U61" s="98" t="n">
        <x:v>83.78581568732176</x:v>
      </x:c>
      <x:c r="V61" s="95" t="n">
        <x:v>0.0002611565016332681</x:v>
      </x:c>
      <x:c r="W61" s="95" t="n">
        <x:v>6.124838936667002e-16</x:v>
      </x:c>
      <x:c r="X61" s="95" t="n">
        <x:v>426389174203.14</x:v>
      </x:c>
      <x:c r="Y61" s="99" t="n">
        <x:f>IFERROR(IF(ISBLANK(INDEX('Long_TCAD'!$H$2:$H$176,MATCH(B61,'Long_TCAD'!$A$2:$A$176,0))),"",INDEX('Long_TCAD'!$H$2:$H$176,MATCH(B61,'Long_TCAD'!$A$2:$A$176,0))),"")</x:f>
        <x:v>0.826</x:v>
      </x:c>
      <x:c r="Z61" s="100" t="n">
        <x:f>IFERROR(IF(ISBLANK(INDEX('Long_TCAD'!$I$2:$I$176,MATCH(B61,'Long_TCAD'!$A$2:$A$176,0))),"",INDEX('Long_TCAD'!$I$2:$I$176,MATCH(B61,'Long_TCAD'!$A$2:$A$176,0))),"")</x:f>
        <x:v>84</x:v>
      </x:c>
      <x:c r="AA61" s="96" t="n">
        <x:f>IFERROR(IF(ISBLANK(INDEX('Long_TCAD'!$J$2:$J$176,MATCH(B61,'Long_TCAD'!$A$2:$A$176,0))),"",INDEX('Long_TCAD'!$J$2:$J$176,MATCH(B61,'Long_TCAD'!$A$2:$A$176,0))),"")</x:f>
        <x:v>0.0002652</x:v>
      </x:c>
      <x:c r="AB61" s="96" t="n">
        <x:f>IFERROR(IF(ISBLANK(INDEX('Long_TCAD'!$K$2:$K$176,MATCH(B61,'Long_TCAD'!$A$2:$A$176,0))),"",INDEX('Long_TCAD'!$K$2:$K$176,MATCH(B61,'Long_TCAD'!$A$2:$A$176,0))),"")</x:f>
        <x:v>5.452e-16</x:v>
      </x:c>
      <x:c r="AC61" s="95" t="n">
        <x:f>IF(OR(NOT(ISNUMBER(AA61)),NOT(ISNUMBER(AB61))),"",AA61/AB61)</x:f>
        <x:v>486426999266.3243</x:v>
      </x:c>
      <x:c r="AD61" s="93" t="n">
        <x:f>IF(NOT(ISNUMBER(Y61)),"",ABS(Y61-T61)*1000)</x:f>
        <x:v>10.836666666666051</x:v>
      </x:c>
      <x:c r="AE61" s="93" t="n">
        <x:f>IF(NOT(ISNUMBER(Z61)),"",ABS(Z61-U61))</x:f>
        <x:v>0.2141843126782419</x:v>
      </x:c>
      <x:c r="AF61" s="93" t="n">
        <x:f>IF(NOT(ISNUMBER(AA61)),"",ABS(LOG10(AA61)-LOG10(V61)))</x:f>
        <x:v>0.006672677427610019</x:v>
      </x:c>
      <x:c r="AG61" s="93" t="n">
        <x:f>IF(NOT(ISNUMBER(AB61)),"",ABS(LOG10(AB61)-LOG10(W61)))</x:f>
        <x:v>0.05053882549249877</x:v>
      </x:c>
      <x:c r="AH61" s="93" t="n">
        <x:f>IF(NOT(ISNUMBER(AC61)),"",ABS(LOG10(AC61)-LOG10(X61)))</x:f>
        <x:v>0.0572115029201008</x:v>
      </x:c>
      <x:c r="AI61" s="85" t="str">
        <x:f>IF(OR(NOT(ISNUMBER(Y61)),NOT(ISNUMBER(Z61)),NOT(ISNUMBER(AA61)),NOT(ISNUMBER(AB61))),"",IF(AND(Y61&gt;=0.3,Y61&lt;=1.2,Z61&lt;=200,AA61&gt;=1E-4,AB61&lt;=1E-6),"PASS","FAIL"))</x:f>
        <x:v>PASS</x:v>
      </x:c>
      <x:c r="AJ61" s="85" t="str"/>
    </x:row>
    <x:row r="62">
      <x:c r="A62" s="85" t="str">
        <x:v>L0360-11</x:v>
      </x:c>
      <x:c r="B62" s="85" t="str">
        <x:v>LR057</x:v>
      </x:c>
      <x:c r="C62" s="93" t="n">
        <x:v>0.36</x:v>
      </x:c>
      <x:c r="D62" s="93" t="str">
        <x:v>Practical</x:v>
      </x:c>
      <x:c r="E62" s="93" t="n">
        <x:v>1</x:v>
      </x:c>
      <x:c r="F62" s="94" t="n">
        <x:v>268819</x:v>
      </x:c>
      <x:c r="G62" s="93" t="n">
        <x:v>0.8209958701003397</x:v>
      </x:c>
      <x:c r="H62" s="93" t="n">
        <x:v>85.903</x:v>
      </x:c>
      <x:c r="I62" s="95" t="n">
        <x:v>0.000219997912928776</x:v>
      </x:c>
      <x:c r="J62" s="95" t="n">
        <x:v>7.008997899094055e-16</x:v>
      </x:c>
      <x:c r="K62" s="95" t="n">
        <x:v>313879267901.0672</x:v>
      </x:c>
      <x:c r="L62" s="95" t="n">
        <x:v>50432792542657.8</x:v>
      </x:c>
      <x:c r="M62" s="95" t="n">
        <x:v>65.5342755253649</x:v>
      </x:c>
      <x:c r="N62" s="95" t="n">
        <x:v>177655547503634.12</x:v>
      </x:c>
      <x:c r="O62" s="95" t="n">
        <x:v>39.81618221614255</x:v>
      </x:c>
      <x:c r="P62" s="93"/>
      <x:c r="Q62" s="95"/>
      <x:c r="R62" s="95"/>
      <x:c r="S62" s="97" t="n">
        <x:v>0.9966666666666667</x:v>
      </x:c>
      <x:c r="T62" s="93" t="n">
        <x:v>0.8043333333333367</x:v>
      </x:c>
      <x:c r="U62" s="98" t="n">
        <x:v>83.85281918654243</x:v>
      </x:c>
      <x:c r="V62" s="95" t="n">
        <x:v>0.0002463637794866708</x:v>
      </x:c>
      <x:c r="W62" s="95" t="n">
        <x:v>6.825215967000736e-16</x:v>
      </x:c>
      <x:c r="X62" s="95" t="n">
        <x:v>360961148596.34625</x:v>
      </x:c>
      <x:c r="Y62" s="99" t="n">
        <x:f>IFERROR(IF(ISBLANK(INDEX('Long_TCAD'!$H$2:$H$176,MATCH(B62,'Long_TCAD'!$A$2:$A$176,0))),"",INDEX('Long_TCAD'!$H$2:$H$176,MATCH(B62,'Long_TCAD'!$A$2:$A$176,0))),"")</x:f>
        <x:v>0.793</x:v>
      </x:c>
      <x:c r="Z62" s="100" t="n">
        <x:f>IFERROR(IF(ISBLANK(INDEX('Long_TCAD'!$I$2:$I$176,MATCH(B62,'Long_TCAD'!$A$2:$A$176,0))),"",INDEX('Long_TCAD'!$I$2:$I$176,MATCH(B62,'Long_TCAD'!$A$2:$A$176,0))),"")</x:f>
        <x:v>83.802</x:v>
      </x:c>
      <x:c r="AA62" s="96" t="n">
        <x:f>IFERROR(IF(ISBLANK(INDEX('Long_TCAD'!$J$2:$J$176,MATCH(B62,'Long_TCAD'!$A$2:$A$176,0))),"",INDEX('Long_TCAD'!$J$2:$J$176,MATCH(B62,'Long_TCAD'!$A$2:$A$176,0))),"")</x:f>
        <x:v>0.0002681</x:v>
      </x:c>
      <x:c r="AB62" s="96" t="n">
        <x:f>IFERROR(IF(ISBLANK(INDEX('Long_TCAD'!$K$2:$K$176,MATCH(B62,'Long_TCAD'!$A$2:$A$176,0))),"",INDEX('Long_TCAD'!$K$2:$K$176,MATCH(B62,'Long_TCAD'!$A$2:$A$176,0))),"")</x:f>
        <x:v>1.059e-15</x:v>
      </x:c>
      <x:c r="AC62" s="95" t="n">
        <x:f>IF(OR(NOT(ISNUMBER(AA62)),NOT(ISNUMBER(AB62))),"",AA62/AB62)</x:f>
        <x:v>253163361661.94522</x:v>
      </x:c>
      <x:c r="AD62" s="93" t="n">
        <x:f>IF(NOT(ISNUMBER(Y62)),"",ABS(Y62-T62)*1000)</x:f>
        <x:v>11.333333333336636</x:v>
      </x:c>
      <x:c r="AE62" s="93" t="n">
        <x:f>IF(NOT(ISNUMBER(Z62)),"",ABS(Z62-U62))</x:f>
        <x:v>0.050819186542426564</x:v>
      </x:c>
      <x:c r="AF62" s="93" t="n">
        <x:f>IF(NOT(ISNUMBER(AA62)),"",ABS(LOG10(AA62)-LOG10(V62)))</x:f>
        <x:v>0.03671995596678013</x:v>
      </x:c>
      <x:c r="AG62" s="93" t="n">
        <x:f>IF(NOT(ISNUMBER(AB62)),"",ABS(LOG10(AB62)-LOG10(W62)))</x:f>
        <x:v>0.19077956200749924</x:v>
      </x:c>
      <x:c r="AH62" s="93" t="n">
        <x:f>IF(NOT(ISNUMBER(AC62)),"",ABS(LOG10(AC62)-LOG10(X62)))</x:f>
        <x:v>0.15405960604070046</x:v>
      </x:c>
      <x:c r="AI62" s="85" t="str">
        <x:f>IF(OR(NOT(ISNUMBER(Y62)),NOT(ISNUMBER(Z62)),NOT(ISNUMBER(AA62)),NOT(ISNUMBER(AB62))),"",IF(AND(Y62&gt;=0.3,Y62&lt;=1.2,Z62&lt;=200,AA62&gt;=1E-4,AB62&lt;=1E-6),"PASS","FAIL"))</x:f>
        <x:v>PASS</x:v>
      </x:c>
      <x:c r="AJ62" s="85" t="str"/>
    </x:row>
    <x:row r="63">
      <x:c r="A63" s="85" t="str">
        <x:v>L0360-12</x:v>
      </x:c>
      <x:c r="B63" s="85" t="str">
        <x:v>LR058</x:v>
      </x:c>
      <x:c r="C63" s="93" t="n">
        <x:v>0.36</x:v>
      </x:c>
      <x:c r="D63" s="93" t="str">
        <x:v>Practical</x:v>
      </x:c>
      <x:c r="E63" s="93" t="n">
        <x:v>1</x:v>
      </x:c>
      <x:c r="F63" s="94" t="n">
        <x:v>318788</x:v>
      </x:c>
      <x:c r="G63" s="93" t="n">
        <x:v>0.822751996653616</x:v>
      </x:c>
      <x:c r="H63" s="93" t="n">
        <x:v>83.414</x:v>
      </x:c>
      <x:c r="I63" s="95" t="n">
        <x:v>0.00022938167427885</x:v>
      </x:c>
      <x:c r="J63" s="95" t="n">
        <x:v>5.544621747949275e-16</x:v>
      </x:c>
      <x:c r="K63" s="95" t="n">
        <x:v>413701213006.4396</x:v>
      </x:c>
      <x:c r="L63" s="95" t="n">
        <x:v>24223408678456.29</x:v>
      </x:c>
      <x:c r="M63" s="95" t="n">
        <x:v>63.55518303505144</x:v>
      </x:c>
      <x:c r="N63" s="95" t="n">
        <x:v>136457708038212.97</x:v>
      </x:c>
      <x:c r="O63" s="95" t="n">
        <x:v>24.272978699353985</x:v>
      </x:c>
      <x:c r="P63" s="93"/>
      <x:c r="Q63" s="95"/>
      <x:c r="R63" s="95"/>
      <x:c r="S63" s="97" t="n">
        <x:v>1</x:v>
      </x:c>
      <x:c r="T63" s="93" t="n">
        <x:v>0.8141866666666625</x:v>
      </x:c>
      <x:c r="U63" s="98" t="n">
        <x:v>83.82719795680704</x:v>
      </x:c>
      <x:c r="V63" s="95" t="n">
        <x:v>0.00024195916574892699</x:v>
      </x:c>
      <x:c r="W63" s="95" t="n">
        <x:v>5.732808814876689e-16</x:v>
      </x:c>
      <x:c r="X63" s="95" t="n">
        <x:v>422060413249.8555</x:v>
      </x:c>
      <x:c r="Y63" s="99" t="n">
        <x:f>IFERROR(IF(ISBLANK(INDEX('Long_TCAD'!$H$2:$H$176,MATCH(B63,'Long_TCAD'!$A$2:$A$176,0))),"",INDEX('Long_TCAD'!$H$2:$H$176,MATCH(B63,'Long_TCAD'!$A$2:$A$176,0))),"")</x:f>
        <x:v>0.82</x:v>
      </x:c>
      <x:c r="Z63" s="100" t="n">
        <x:f>IFERROR(IF(ISBLANK(INDEX('Long_TCAD'!$I$2:$I$176,MATCH(B63,'Long_TCAD'!$A$2:$A$176,0))),"",INDEX('Long_TCAD'!$I$2:$I$176,MATCH(B63,'Long_TCAD'!$A$2:$A$176,0))),"")</x:f>
        <x:v>83.963</x:v>
      </x:c>
      <x:c r="AA63" s="96" t="n">
        <x:f>IFERROR(IF(ISBLANK(INDEX('Long_TCAD'!$J$2:$J$176,MATCH(B63,'Long_TCAD'!$A$2:$A$176,0))),"",INDEX('Long_TCAD'!$J$2:$J$176,MATCH(B63,'Long_TCAD'!$A$2:$A$176,0))),"")</x:f>
        <x:v>0.0002547</x:v>
      </x:c>
      <x:c r="AB63" s="96" t="n">
        <x:f>IFERROR(IF(ISBLANK(INDEX('Long_TCAD'!$K$2:$K$176,MATCH(B63,'Long_TCAD'!$A$2:$A$176,0))),"",INDEX('Long_TCAD'!$K$2:$K$176,MATCH(B63,'Long_TCAD'!$A$2:$A$176,0))),"")</x:f>
        <x:v>6.233e-16</x:v>
      </x:c>
      <x:c r="AC63" s="95" t="n">
        <x:f>IF(OR(NOT(ISNUMBER(AA63)),NOT(ISNUMBER(AB63))),"",AA63/AB63)</x:f>
        <x:v>408631477619.124</x:v>
      </x:c>
      <x:c r="AD63" s="93" t="n">
        <x:f>IF(NOT(ISNUMBER(Y63)),"",ABS(Y63-T63)*1000)</x:f>
        <x:v>5.813333333337445</x:v>
      </x:c>
      <x:c r="AE63" s="93" t="n">
        <x:f>IF(NOT(ISNUMBER(Z63)),"",ABS(Z63-U63))</x:f>
        <x:v>0.1358020431929532</x:v>
      </x:c>
      <x:c r="AF63" s="93" t="n">
        <x:f>IF(NOT(ISNUMBER(AA63)),"",ABS(LOG10(AA63)-LOG10(V63)))</x:f>
        <x:v>0.02228686652978995</x:v>
      </x:c>
      <x:c r="AG63" s="93" t="n">
        <x:f>IF(NOT(ISNUMBER(AB63)),"",ABS(LOG10(AB63)-LOG10(W63)))</x:f>
        <x:v>0.03632966828990014</x:v>
      </x:c>
      <x:c r="AH63" s="93" t="n">
        <x:f>IF(NOT(ISNUMBER(AC63)),"",ABS(LOG10(AC63)-LOG10(X63)))</x:f>
        <x:v>0.014042801760201229</x:v>
      </x:c>
      <x:c r="AI63" s="85" t="str">
        <x:f>IF(OR(NOT(ISNUMBER(Y63)),NOT(ISNUMBER(Z63)),NOT(ISNUMBER(AA63)),NOT(ISNUMBER(AB63))),"",IF(AND(Y63&gt;=0.3,Y63&lt;=1.2,Z63&lt;=200,AA63&gt;=1E-4,AB63&lt;=1E-6),"PASS","FAIL"))</x:f>
        <x:v>PASS</x:v>
      </x:c>
      <x:c r="AJ63" s="85" t="str"/>
    </x:row>
    <x:row r="64">
      <x:c r="A64" s="85" t="str">
        <x:v>L0360-13</x:v>
      </x:c>
      <x:c r="B64" s="85" t="str">
        <x:v>LR059</x:v>
      </x:c>
      <x:c r="C64" s="93" t="n">
        <x:v>0.36</x:v>
      </x:c>
      <x:c r="D64" s="93" t="str">
        <x:v>Practical</x:v>
      </x:c>
      <x:c r="E64" s="93" t="n">
        <x:v>1</x:v>
      </x:c>
      <x:c r="F64" s="94" t="n">
        <x:v>302962</x:v>
      </x:c>
      <x:c r="G64" s="93" t="n">
        <x:v>0.8291811579492847</x:v>
      </x:c>
      <x:c r="H64" s="93" t="n">
        <x:v>83.414</x:v>
      </x:c>
      <x:c r="I64" s="95" t="n">
        <x:v>0.000259375817114645</x:v>
      </x:c>
      <x:c r="J64" s="95" t="n">
        <x:v>6.042839237938383e-16</x:v>
      </x:c>
      <x:c r="K64" s="95" t="n">
        <x:v>429228392319.6597</x:v>
      </x:c>
      <x:c r="L64" s="95" t="n">
        <x:v>5741442542270.538</x:v>
      </x:c>
      <x:c r="M64" s="95" t="n">
        <x:v>65.9701443888536</x:v>
      </x:c>
      <x:c r="N64" s="95" t="n">
        <x:v>53927724204834776</x:v>
      </x:c>
      <x:c r="O64" s="95" t="n">
        <x:v>10.828741536612133</x:v>
      </x:c>
      <x:c r="P64" s="93"/>
      <x:c r="Q64" s="95"/>
      <x:c r="R64" s="95"/>
      <x:c r="S64" s="97" t="n">
        <x:v>1</x:v>
      </x:c>
      <x:c r="T64" s="93" t="n">
        <x:v>0.8190966666666624</x:v>
      </x:c>
      <x:c r="U64" s="98" t="n">
        <x:v>83.86957102189938</x:v>
      </x:c>
      <x:c r="V64" s="95" t="n">
        <x:v>0.0002630689412258236</x:v>
      </x:c>
      <x:c r="W64" s="95" t="n">
        <x:v>5.988375291222502e-16</x:v>
      </x:c>
      <x:c r="X64" s="95" t="n">
        <x:v>439299356557.393</x:v>
      </x:c>
      <x:c r="Y64" s="99" t="n">
        <x:f>IFERROR(IF(ISBLANK(INDEX('Long_TCAD'!$H$2:$H$176,MATCH(B64,'Long_TCAD'!$A$2:$A$176,0))),"",INDEX('Long_TCAD'!$H$2:$H$176,MATCH(B64,'Long_TCAD'!$A$2:$A$176,0))),"")</x:f>
        <x:v>0.826</x:v>
      </x:c>
      <x:c r="Z64" s="100" t="n">
        <x:f>IFERROR(IF(ISBLANK(INDEX('Long_TCAD'!$I$2:$I$176,MATCH(B64,'Long_TCAD'!$A$2:$A$176,0))),"",INDEX('Long_TCAD'!$I$2:$I$176,MATCH(B64,'Long_TCAD'!$A$2:$A$176,0))),"")</x:f>
        <x:v>84.072</x:v>
      </x:c>
      <x:c r="AA64" s="96" t="n">
        <x:f>IFERROR(IF(ISBLANK(INDEX('Long_TCAD'!$J$2:$J$176,MATCH(B64,'Long_TCAD'!$A$2:$A$176,0))),"",INDEX('Long_TCAD'!$J$2:$J$176,MATCH(B64,'Long_TCAD'!$A$2:$A$176,0))),"")</x:f>
        <x:v>0.0002759</x:v>
      </x:c>
      <x:c r="AB64" s="96" t="n">
        <x:f>IFERROR(IF(ISBLANK(INDEX('Long_TCAD'!$K$2:$K$176,MATCH(B64,'Long_TCAD'!$A$2:$A$176,0))),"",INDEX('Long_TCAD'!$K$2:$K$176,MATCH(B64,'Long_TCAD'!$A$2:$A$176,0))),"")</x:f>
        <x:v>6.074e-16</x:v>
      </x:c>
      <x:c r="AC64" s="95" t="n">
        <x:f>IF(OR(NOT(ISNUMBER(AA64)),NOT(ISNUMBER(AB64))),"",AA64/AB64)</x:f>
        <x:v>454231149160.3556</x:v>
      </x:c>
      <x:c r="AD64" s="93" t="n">
        <x:f>IF(NOT(ISNUMBER(Y64)),"",ABS(Y64-T64)*1000)</x:f>
        <x:v>6.903333333337591</x:v>
      </x:c>
      <x:c r="AE64" s="93" t="n">
        <x:f>IF(NOT(ISNUMBER(Z64)),"",ABS(Z64-U64))</x:f>
        <x:v>0.20242897810062743</x:v>
      </x:c>
      <x:c r="AF64" s="93" t="n">
        <x:f>IF(NOT(ISNUMBER(AA64)),"",ABS(LOG10(AA64)-LOG10(V64)))</x:f>
        <x:v>0.020682123584919943</x:v>
      </x:c>
      <x:c r="AG64" s="93" t="n">
        <x:f>IF(NOT(ISNUMBER(AB64)),"",ABS(LOG10(AB64)-LOG10(W64)))</x:f>
        <x:v>0.006165777841800946</x:v>
      </x:c>
      <x:c r="AH64" s="93" t="n">
        <x:f>IF(NOT(ISNUMBER(AC64)),"",ABS(LOG10(AC64)-LOG10(X64)))</x:f>
        <x:v>0.014516345743100345</x:v>
      </x:c>
      <x:c r="AI64" s="85" t="str">
        <x:f>IF(OR(NOT(ISNUMBER(Y64)),NOT(ISNUMBER(Z64)),NOT(ISNUMBER(AA64)),NOT(ISNUMBER(AB64))),"",IF(AND(Y64&gt;=0.3,Y64&lt;=1.2,Z64&lt;=200,AA64&gt;=1E-4,AB64&lt;=1E-6),"PASS","FAIL"))</x:f>
        <x:v>PASS</x:v>
      </x:c>
      <x:c r="AJ64" s="85" t="str"/>
    </x:row>
    <x:row r="65">
      <x:c r="A65" s="85" t="str">
        <x:v>L0360-14</x:v>
      </x:c>
      <x:c r="B65" s="85" t="str">
        <x:v>LR060</x:v>
      </x:c>
      <x:c r="C65" s="93" t="n">
        <x:v>0.36</x:v>
      </x:c>
      <x:c r="D65" s="93" t="str">
        <x:v>Practical</x:v>
      </x:c>
      <x:c r="E65" s="93" t="n">
        <x:v>1</x:v>
      </x:c>
      <x:c r="F65" s="94" t="n">
        <x:v>305535</x:v>
      </x:c>
      <x:c r="G65" s="93" t="n">
        <x:v>0.8471787178803543</x:v>
      </x:c>
      <x:c r="H65" s="93" t="n">
        <x:v>83.414</x:v>
      </x:c>
      <x:c r="I65" s="95" t="n">
        <x:v>0.00021555378714403664</x:v>
      </x:c>
      <x:c r="J65" s="95" t="n">
        <x:v>3.831031214307855e-16</x:v>
      </x:c>
      <x:c r="K65" s="95" t="n">
        <x:v>562652129638.104</x:v>
      </x:c>
      <x:c r="L65" s="95" t="n">
        <x:v>52562152816329.49</x:v>
      </x:c>
      <x:c r="M65" s="95" t="n">
        <x:v>13.952903692954258</x:v>
      </x:c>
      <x:c r="N65" s="95" t="n">
        <x:v>374433061461007.4</x:v>
      </x:c>
      <x:c r="O65" s="95" t="n">
        <x:v>25.117708874065723</x:v>
      </x:c>
      <x:c r="P65" s="93"/>
      <x:c r="Q65" s="95"/>
      <x:c r="R65" s="95"/>
      <x:c r="S65" s="97" t="n">
        <x:v>1</x:v>
      </x:c>
      <x:c r="T65" s="93" t="n">
        <x:v>0.8439733333333336</x:v>
      </x:c>
      <x:c r="U65" s="98" t="n">
        <x:v>85.64046357590576</x:v>
      </x:c>
      <x:c r="V65" s="95" t="n">
        <x:v>0.00023138838775919657</x:v>
      </x:c>
      <x:c r="W65" s="95" t="n">
        <x:v>3.749334456290694e-16</x:v>
      </x:c>
      <x:c r="X65" s="95" t="n">
        <x:v>617145230591.4437</x:v>
      </x:c>
      <x:c r="Y65" s="99" t="n">
        <x:f>IFERROR(IF(ISBLANK(INDEX('Long_TCAD'!$H$2:$H$176,MATCH(B65,'Long_TCAD'!$A$2:$A$176,0))),"",INDEX('Long_TCAD'!$H$2:$H$176,MATCH(B65,'Long_TCAD'!$A$2:$A$176,0))),"")</x:f>
        <x:v>0.849</x:v>
      </x:c>
      <x:c r="Z65" s="100" t="n">
        <x:f>IFERROR(IF(ISBLANK(INDEX('Long_TCAD'!$I$2:$I$176,MATCH(B65,'Long_TCAD'!$A$2:$A$176,0))),"",INDEX('Long_TCAD'!$I$2:$I$176,MATCH(B65,'Long_TCAD'!$A$2:$A$176,0))),"")</x:f>
        <x:v>85.428</x:v>
      </x:c>
      <x:c r="AA65" s="96" t="n">
        <x:f>IFERROR(IF(ISBLANK(INDEX('Long_TCAD'!$J$2:$J$176,MATCH(B65,'Long_TCAD'!$A$2:$A$176,0))),"",INDEX('Long_TCAD'!$J$2:$J$176,MATCH(B65,'Long_TCAD'!$A$2:$A$176,0))),"")</x:f>
        <x:v>0.0002523</x:v>
      </x:c>
      <x:c r="AB65" s="96" t="n">
        <x:f>IFERROR(IF(ISBLANK(INDEX('Long_TCAD'!$K$2:$K$176,MATCH(B65,'Long_TCAD'!$A$2:$A$176,0))),"",INDEX('Long_TCAD'!$K$2:$K$176,MATCH(B65,'Long_TCAD'!$A$2:$A$176,0))),"")</x:f>
        <x:v>3.671e-16</x:v>
      </x:c>
      <x:c r="AC65" s="95" t="n">
        <x:f>IF(OR(NOT(ISNUMBER(AA65)),NOT(ISNUMBER(AB65))),"",AA65/AB65)</x:f>
        <x:v>687278670661.9451</x:v>
      </x:c>
      <x:c r="AD65" s="93" t="n">
        <x:f>IF(NOT(ISNUMBER(Y65)),"",ABS(Y65-T65)*1000)</x:f>
        <x:v>5.026666666666402</x:v>
      </x:c>
      <x:c r="AE65" s="93" t="n">
        <x:f>IF(NOT(ISNUMBER(Z65)),"",ABS(Z65-U65))</x:f>
        <x:v>0.21246357590575826</x:v>
      </x:c>
      <x:c r="AF65" s="93" t="n">
        <x:f>IF(NOT(ISNUMBER(AA65)),"",ABS(LOG10(AA65)-LOG10(V65)))</x:f>
        <x:v>0.037575690450869725</x:v>
      </x:c>
      <x:c r="AG65" s="93" t="n">
        <x:f>IF(NOT(ISNUMBER(AB65)),"",ABS(LOG10(AB65)-LOG10(W65)))</x:f>
        <x:v>0.00916979852700095</x:v>
      </x:c>
      <x:c r="AH65" s="93" t="n">
        <x:f>IF(NOT(ISNUMBER(AC65)),"",ABS(LOG10(AC65)-LOG10(X65)))</x:f>
        <x:v>0.04674548897790132</x:v>
      </x:c>
      <x:c r="AI65" s="85" t="str">
        <x:f>IF(OR(NOT(ISNUMBER(Y65)),NOT(ISNUMBER(Z65)),NOT(ISNUMBER(AA65)),NOT(ISNUMBER(AB65))),"",IF(AND(Y65&gt;=0.3,Y65&lt;=1.2,Z65&lt;=200,AA65&gt;=1E-4,AB65&lt;=1E-6),"PASS","FAIL"))</x:f>
        <x:v>PASS</x:v>
      </x:c>
      <x:c r="AJ65" s="85" t="str"/>
    </x:row>
    <x:row r="66">
      <x:c r="A66" s="85" t="str">
        <x:v>L0360-15</x:v>
      </x:c>
      <x:c r="B66" s="85" t="str">
        <x:v>LR061</x:v>
      </x:c>
      <x:c r="C66" s="93" t="n">
        <x:v>0.36</x:v>
      </x:c>
      <x:c r="D66" s="93" t="str">
        <x:v>Practical</x:v>
      </x:c>
      <x:c r="E66" s="93" t="n">
        <x:v>1</x:v>
      </x:c>
      <x:c r="F66" s="94" t="n">
        <x:v>303002</x:v>
      </x:c>
      <x:c r="G66" s="93" t="n">
        <x:v>0.8476021307763562</x:v>
      </x:c>
      <x:c r="H66" s="93" t="n">
        <x:v>85.903</x:v>
      </x:c>
      <x:c r="I66" s="95" t="n">
        <x:v>0.00027715722239429476</x:v>
      </x:c>
      <x:c r="J66" s="95" t="n">
        <x:v>3.9346636268326553e-16</x:v>
      </x:c>
      <x:c r="K66" s="95" t="n">
        <x:v>704398771229.6569</x:v>
      </x:c>
      <x:c r="L66" s="95" t="n">
        <x:v>564231343306139.2</x:v>
      </x:c>
      <x:c r="M66" s="95" t="n">
        <x:v>14.856603029928523</x:v>
      </x:c>
      <x:c r="N66" s="95" t="n">
        <x:v>23485992543713604</x:v>
      </x:c>
      <x:c r="O66" s="95" t="n">
        <x:v>22.500330320651447</x:v>
      </x:c>
      <x:c r="P66" s="93"/>
      <x:c r="Q66" s="95"/>
      <x:c r="R66" s="95"/>
      <x:c r="S66" s="97" t="n">
        <x:v>0.9966666666666667</x:v>
      </x:c>
      <x:c r="T66" s="93" t="n">
        <x:v>0.852760000000001</x:v>
      </x:c>
      <x:c r="U66" s="98" t="n">
        <x:v>85.25414635292319</x:v>
      </x:c>
      <x:c r="V66" s="95" t="n">
        <x:v>0.0002679449124230009</x:v>
      </x:c>
      <x:c r="W66" s="95" t="n">
        <x:v>3.976043550673553e-16</x:v>
      </x:c>
      <x:c r="X66" s="95" t="n">
        <x:v>673898333879.1908</x:v>
      </x:c>
      <x:c r="Y66" s="99" t="n">
        <x:f>IFERROR(IF(ISBLANK(INDEX('Long_TCAD'!$H$2:$H$176,MATCH(B66,'Long_TCAD'!$A$2:$A$176,0))),"",INDEX('Long_TCAD'!$H$2:$H$176,MATCH(B66,'Long_TCAD'!$A$2:$A$176,0))),"")</x:f>
        <x:v>0.827</x:v>
      </x:c>
      <x:c r="Z66" s="100" t="n">
        <x:f>IFERROR(IF(ISBLANK(INDEX('Long_TCAD'!$I$2:$I$176,MATCH(B66,'Long_TCAD'!$A$2:$A$176,0))),"",INDEX('Long_TCAD'!$I$2:$I$176,MATCH(B66,'Long_TCAD'!$A$2:$A$176,0))),"")</x:f>
        <x:v>84.255</x:v>
      </x:c>
      <x:c r="AA66" s="96" t="n">
        <x:f>IFERROR(IF(ISBLANK(INDEX('Long_TCAD'!$J$2:$J$176,MATCH(B66,'Long_TCAD'!$A$2:$A$176,0))),"",INDEX('Long_TCAD'!$J$2:$J$176,MATCH(B66,'Long_TCAD'!$A$2:$A$176,0))),"")</x:f>
        <x:v>0.0002836</x:v>
      </x:c>
      <x:c r="AB66" s="96" t="n">
        <x:f>IFERROR(IF(ISBLANK(INDEX('Long_TCAD'!$K$2:$K$176,MATCH(B66,'Long_TCAD'!$A$2:$A$176,0))),"",INDEX('Long_TCAD'!$K$2:$K$176,MATCH(B66,'Long_TCAD'!$A$2:$A$176,0))),"")</x:f>
        <x:v>6.457e-16</x:v>
      </x:c>
      <x:c r="AC66" s="95" t="n">
        <x:f>IF(OR(NOT(ISNUMBER(AA66)),NOT(ISNUMBER(AB66))),"",AA66/AB66)</x:f>
        <x:v>439213256930.4631</x:v>
      </x:c>
      <x:c r="AD66" s="93" t="n">
        <x:f>IF(NOT(ISNUMBER(Y66)),"",ABS(Y66-T66)*1000)</x:f>
        <x:v>25.760000000001003</x:v>
      </x:c>
      <x:c r="AE66" s="93" t="n">
        <x:f>IF(NOT(ISNUMBER(Z66)),"",ABS(Z66-U66))</x:f>
        <x:v>0.9991463529231908</x:v>
      </x:c>
      <x:c r="AF66" s="93" t="n">
        <x:f>IF(NOT(ISNUMBER(AA66)),"",ABS(LOG10(AA66)-LOG10(V66)))</x:f>
        <x:v>0.024660711175790162</x:v>
      </x:c>
      <x:c r="AG66" s="93" t="n">
        <x:f>IF(NOT(ISNUMBER(AB66)),"",ABS(LOG10(AB66)-LOG10(W66)))</x:f>
        <x:v>0.21057965371030107</x:v>
      </x:c>
      <x:c r="AH66" s="93" t="n">
        <x:f>IF(NOT(ISNUMBER(AC66)),"",ABS(LOG10(AC66)-LOG10(X66)))</x:f>
        <x:v>0.18591894253449937</x:v>
      </x:c>
      <x:c r="AI66" s="85" t="str">
        <x:f>IF(OR(NOT(ISNUMBER(Y66)),NOT(ISNUMBER(Z66)),NOT(ISNUMBER(AA66)),NOT(ISNUMBER(AB66))),"",IF(AND(Y66&gt;=0.3,Y66&lt;=1.2,Z66&lt;=200,AA66&gt;=1E-4,AB66&lt;=1E-6),"PASS","FAIL"))</x:f>
        <x:v>PASS</x:v>
      </x:c>
      <x:c r="AJ66" s="85" t="str"/>
    </x:row>
    <x:row r="67">
      <x:c r="A67" s="85" t="str">
        <x:v>L0360-16</x:v>
      </x:c>
      <x:c r="B67" s="85" t="str">
        <x:v>LR062</x:v>
      </x:c>
      <x:c r="C67" s="93" t="n">
        <x:v>0.36</x:v>
      </x:c>
      <x:c r="D67" s="93" t="str">
        <x:v>Practical</x:v>
      </x:c>
      <x:c r="E67" s="93" t="n">
        <x:v>1</x:v>
      </x:c>
      <x:c r="F67" s="94" t="n">
        <x:v>277926</x:v>
      </x:c>
      <x:c r="G67" s="93" t="n">
        <x:v>0.8149249974846919</x:v>
      </x:c>
      <x:c r="H67" s="93" t="n">
        <x:v>83.414</x:v>
      </x:c>
      <x:c r="I67" s="95" t="n">
        <x:v>0.0002778299988397486</x:v>
      </x:c>
      <x:c r="J67" s="95" t="n">
        <x:v>6.788446121283314e-16</x:v>
      </x:c>
      <x:c r="K67" s="95" t="n">
        <x:v>409268916444.20465</x:v>
      </x:c>
      <x:c r="L67" s="95" t="n">
        <x:v>53514024467989.445</x:v>
      </x:c>
      <x:c r="M67" s="95" t="n">
        <x:v>68.35094209101881</x:v>
      </x:c>
      <x:c r="N67" s="95" t="n">
        <x:v>52770687380109080</x:v>
      </x:c>
      <x:c r="O67" s="95" t="n">
        <x:v>28.459728647930106</x:v>
      </x:c>
      <x:c r="P67" s="93"/>
      <x:c r="Q67" s="95"/>
      <x:c r="R67" s="95"/>
      <x:c r="S67" s="97" t="n">
        <x:v>1</x:v>
      </x:c>
      <x:c r="T67" s="93" t="n">
        <x:v>0.8136433333333314</x:v>
      </x:c>
      <x:c r="U67" s="98" t="n">
        <x:v>83.71199252352645</x:v>
      </x:c>
      <x:c r="V67" s="95" t="n">
        <x:v>0.0002752615825058994</x:v>
      </x:c>
      <x:c r="W67" s="95" t="n">
        <x:v>6.643693504852969e-16</x:v>
      </x:c>
      <x:c r="X67" s="95" t="n">
        <x:v>414320110198.9897</x:v>
      </x:c>
      <x:c r="Y67" s="99" t="n">
        <x:f>IFERROR(IF(ISBLANK(INDEX('Long_TCAD'!$H$2:$H$176,MATCH(B67,'Long_TCAD'!$A$2:$A$176,0))),"",INDEX('Long_TCAD'!$H$2:$H$176,MATCH(B67,'Long_TCAD'!$A$2:$A$176,0))),"")</x:f>
        <x:v>0.801</x:v>
      </x:c>
      <x:c r="Z67" s="100" t="n">
        <x:f>IFERROR(IF(ISBLANK(INDEX('Long_TCAD'!$I$2:$I$176,MATCH(B67,'Long_TCAD'!$A$2:$A$176,0))),"",INDEX('Long_TCAD'!$I$2:$I$176,MATCH(B67,'Long_TCAD'!$A$2:$A$176,0))),"")</x:f>
        <x:v>83.237</x:v>
      </x:c>
      <x:c r="AA67" s="96" t="n">
        <x:f>IFERROR(IF(ISBLANK(INDEX('Long_TCAD'!$J$2:$J$176,MATCH(B67,'Long_TCAD'!$A$2:$A$176,0))),"",INDEX('Long_TCAD'!$J$2:$J$176,MATCH(B67,'Long_TCAD'!$A$2:$A$176,0))),"")</x:f>
        <x:v>0.000289</x:v>
      </x:c>
      <x:c r="AB67" s="96" t="n">
        <x:f>IFERROR(IF(ISBLANK(INDEX('Long_TCAD'!$K$2:$K$176,MATCH(B67,'Long_TCAD'!$A$2:$A$176,0))),"",INDEX('Long_TCAD'!$K$2:$K$176,MATCH(B67,'Long_TCAD'!$A$2:$A$176,0))),"")</x:f>
        <x:v>1.195e-15</x:v>
      </x:c>
      <x:c r="AC67" s="95" t="n">
        <x:f>IF(OR(NOT(ISNUMBER(AA67)),NOT(ISNUMBER(AB67))),"",AA67/AB67)</x:f>
        <x:v>241841004184.10037</x:v>
      </x:c>
      <x:c r="AD67" s="93" t="n">
        <x:f>IF(NOT(ISNUMBER(Y67)),"",ABS(Y67-T67)*1000)</x:f>
        <x:v>12.643333333331341</x:v>
      </x:c>
      <x:c r="AE67" s="93" t="n">
        <x:f>IF(NOT(ISNUMBER(Z67)),"",ABS(Z67-U67))</x:f>
        <x:v>0.4749925235264527</x:v>
      </x:c>
      <x:c r="AF67" s="93" t="n">
        <x:f>IF(NOT(ISNUMBER(AA67)),"",ABS(LOG10(AA67)-LOG10(V67)))</x:f>
        <x:v>0.02115224040771002</x:v>
      </x:c>
      <x:c r="AG67" s="93" t="n">
        <x:f>IF(NOT(ISNUMBER(AB67)),"",ABS(LOG10(AB67)-LOG10(W67)))</x:f>
        <x:v>0.25495831645690004</x:v>
      </x:c>
      <x:c r="AH67" s="93" t="n">
        <x:f>IF(NOT(ISNUMBER(AC67)),"",ABS(LOG10(AC67)-LOG10(X67)))</x:f>
        <x:v>0.23380607604910075</x:v>
      </x:c>
      <x:c r="AI67" s="85" t="str">
        <x:f>IF(OR(NOT(ISNUMBER(Y67)),NOT(ISNUMBER(Z67)),NOT(ISNUMBER(AA67)),NOT(ISNUMBER(AB67))),"",IF(AND(Y67&gt;=0.3,Y67&lt;=1.2,Z67&lt;=200,AA67&gt;=1E-4,AB67&lt;=1E-6),"PASS","FAIL"))</x:f>
        <x:v>PASS</x:v>
      </x:c>
      <x:c r="AJ67" s="85" t="str"/>
    </x:row>
    <x:row r="68">
      <x:c r="A68" s="85" t="str">
        <x:v>L0360-17</x:v>
      </x:c>
      <x:c r="B68" s="85" t="str">
        <x:v>LR063</x:v>
      </x:c>
      <x:c r="C68" s="93" t="n">
        <x:v>0.36</x:v>
      </x:c>
      <x:c r="D68" s="93" t="str">
        <x:v>Practical</x:v>
      </x:c>
      <x:c r="E68" s="93" t="n">
        <x:v>1</x:v>
      </x:c>
      <x:c r="F68" s="94" t="n">
        <x:v>316583</x:v>
      </x:c>
      <x:c r="G68" s="93" t="n">
        <x:v>0.8247255547633809</x:v>
      </x:c>
      <x:c r="H68" s="93" t="n">
        <x:v>85.18918872199336</x:v>
      </x:c>
      <x:c r="I68" s="95" t="n">
        <x:v>0.00027595920605811566</x:v>
      </x:c>
      <x:c r="J68" s="95" t="n">
        <x:v>5.745700262773106e-16</x:v>
      </x:c>
      <x:c r="K68" s="95" t="n">
        <x:v>480288204113.3949</x:v>
      </x:c>
      <x:c r="L68" s="95" t="n">
        <x:v>572028605346970.4</x:v>
      </x:c>
      <x:c r="M68" s="95" t="n">
        <x:v>35.15586647970923</x:v>
      </x:c>
      <x:c r="N68" s="95" t="n">
        <x:v>256134804892735.12</x:v>
      </x:c>
      <x:c r="O68" s="95" t="n">
        <x:v>39.85741183682634</x:v>
      </x:c>
      <x:c r="P68" s="93"/>
      <x:c r="Q68" s="95"/>
      <x:c r="R68" s="95"/>
      <x:c r="S68" s="97" t="n">
        <x:v>0.9966666666666667</x:v>
      </x:c>
      <x:c r="T68" s="93" t="n">
        <x:v>0.8244466666666682</x:v>
      </x:c>
      <x:c r="U68" s="98" t="n">
        <x:v>84.66531667805747</x:v>
      </x:c>
      <x:c r="V68" s="95" t="n">
        <x:v>0.00027791339319901146</x:v>
      </x:c>
      <x:c r="W68" s="95" t="n">
        <x:v>5.633033044924708e-16</x:v>
      </x:c>
      <x:c r="X68" s="95" t="n">
        <x:v>493363683441.21106</x:v>
      </x:c>
      <x:c r="Y68" s="99" t="n">
        <x:f>IFERROR(IF(ISBLANK(INDEX('Long_TCAD'!$H$2:$H$176,MATCH(B68,'Long_TCAD'!$A$2:$A$176,0))),"",INDEX('Long_TCAD'!$H$2:$H$176,MATCH(B68,'Long_TCAD'!$A$2:$A$176,0))),"")</x:f>
        <x:v>0.811</x:v>
      </x:c>
      <x:c r="Z68" s="100" t="n">
        <x:f>IFERROR(IF(ISBLANK(INDEX('Long_TCAD'!$I$2:$I$176,MATCH(B68,'Long_TCAD'!$A$2:$A$176,0))),"",INDEX('Long_TCAD'!$I$2:$I$176,MATCH(B68,'Long_TCAD'!$A$2:$A$176,0))),"")</x:f>
        <x:v>84.278</x:v>
      </x:c>
      <x:c r="AA68" s="96" t="n">
        <x:f>IFERROR(IF(ISBLANK(INDEX('Long_TCAD'!$J$2:$J$176,MATCH(B68,'Long_TCAD'!$A$2:$A$176,0))),"",INDEX('Long_TCAD'!$J$2:$J$176,MATCH(B68,'Long_TCAD'!$A$2:$A$176,0))),"")</x:f>
        <x:v>0.0002807</x:v>
      </x:c>
      <x:c r="AB68" s="96" t="n">
        <x:f>IFERROR(IF(ISBLANK(INDEX('Long_TCAD'!$K$2:$K$176,MATCH(B68,'Long_TCAD'!$A$2:$A$176,0))),"",INDEX('Long_TCAD'!$K$2:$K$176,MATCH(B68,'Long_TCAD'!$A$2:$A$176,0))),"")</x:f>
        <x:v>1.087e-15</x:v>
      </x:c>
      <x:c r="AC68" s="95" t="n">
        <x:f>IF(OR(NOT(ISNUMBER(AA68)),NOT(ISNUMBER(AB68))),"",AA68/AB68)</x:f>
        <x:v>258233670653.1739</x:v>
      </x:c>
      <x:c r="AD68" s="93" t="n">
        <x:f>IF(NOT(ISNUMBER(Y68)),"",ABS(Y68-T68)*1000)</x:f>
        <x:v>13.446666666668161</x:v>
      </x:c>
      <x:c r="AE68" s="93" t="n">
        <x:f>IF(NOT(ISNUMBER(Z68)),"",ABS(Z68-U68))</x:f>
        <x:v>0.3873166780574593</x:v>
      </x:c>
      <x:c r="AF68" s="93" t="n">
        <x:f>IF(NOT(ISNUMBER(AA68)),"",ABS(LOG10(AA68)-LOG10(V68)))</x:f>
        <x:v>0.004332935838120111</x:v>
      </x:c>
      <x:c r="AG68" s="93" t="n">
        <x:f>IF(NOT(ISNUMBER(AB68)),"",ABS(LOG10(AB68)-LOG10(W68)))</x:f>
        <x:v>0.28548724515230006</x:v>
      </x:c>
      <x:c r="AH68" s="93" t="n">
        <x:f>IF(NOT(ISNUMBER(AC68)),"",ABS(LOG10(AC68)-LOG10(X68)))</x:f>
        <x:v>0.28115430931419993</x:v>
      </x:c>
      <x:c r="AI68" s="85" t="str">
        <x:f>IF(OR(NOT(ISNUMBER(Y68)),NOT(ISNUMBER(Z68)),NOT(ISNUMBER(AA68)),NOT(ISNUMBER(AB68))),"",IF(AND(Y68&gt;=0.3,Y68&lt;=1.2,Z68&lt;=200,AA68&gt;=1E-4,AB68&lt;=1E-6),"PASS","FAIL"))</x:f>
        <x:v>PASS</x:v>
      </x:c>
      <x:c r="AJ68" s="85" t="str"/>
    </x:row>
    <x:row r="69">
      <x:c r="A69" s="85" t="str">
        <x:v>L0360-18</x:v>
      </x:c>
      <x:c r="B69" s="85" t="str">
        <x:v>LR064</x:v>
      </x:c>
      <x:c r="C69" s="93" t="n">
        <x:v>0.36</x:v>
      </x:c>
      <x:c r="D69" s="93" t="str">
        <x:v>Practical</x:v>
      </x:c>
      <x:c r="E69" s="93" t="n">
        <x:v>1</x:v>
      </x:c>
      <x:c r="F69" s="94" t="n">
        <x:v>319543</x:v>
      </x:c>
      <x:c r="G69" s="93" t="n">
        <x:v>0.8350629254653652</x:v>
      </x:c>
      <x:c r="H69" s="93" t="n">
        <x:v>83.414</x:v>
      </x:c>
      <x:c r="I69" s="95" t="n">
        <x:v>0.0002767070067819507</x:v>
      </x:c>
      <x:c r="J69" s="95" t="n">
        <x:v>5.521049642177252e-16</x:v>
      </x:c>
      <x:c r="K69" s="95" t="n">
        <x:v>501185507676.09106</x:v>
      </x:c>
      <x:c r="L69" s="95" t="n">
        <x:v>506500474159934.2</x:v>
      </x:c>
      <x:c r="M69" s="95" t="n">
        <x:v>38.40582330002163</x:v>
      </x:c>
      <x:c r="N69" s="95" t="n">
        <x:v>160610589953983840</x:v>
      </x:c>
      <x:c r="O69" s="95" t="n">
        <x:v>11.165054037395176</x:v>
      </x:c>
      <x:c r="P69" s="93"/>
      <x:c r="Q69" s="95"/>
      <x:c r="R69" s="95"/>
      <x:c r="S69" s="97" t="n">
        <x:v>0.99</x:v>
      </x:c>
      <x:c r="T69" s="93" t="n">
        <x:v>0.8326433333333306</x:v>
      </x:c>
      <x:c r="U69" s="98" t="n">
        <x:v>84.48549951664911</x:v>
      </x:c>
      <x:c r="V69" s="95" t="n">
        <x:v>0.0002759300152717993</x:v>
      </x:c>
      <x:c r="W69" s="95" t="n">
        <x:v>5.438946710176799e-16</x:v>
      </x:c>
      <x:c r="X69" s="95" t="n">
        <x:v>507322520287.8112</x:v>
      </x:c>
      <x:c r="Y69" s="99" t="n">
        <x:f>IFERROR(IF(ISBLANK(INDEX('Long_TCAD'!$H$2:$H$176,MATCH(B69,'Long_TCAD'!$A$2:$A$176,0))),"",INDEX('Long_TCAD'!$H$2:$H$176,MATCH(B69,'Long_TCAD'!$A$2:$A$176,0))),"")</x:f>
        <x:v>0.827</x:v>
      </x:c>
      <x:c r="Z69" s="100" t="n">
        <x:f>IFERROR(IF(ISBLANK(INDEX('Long_TCAD'!$I$2:$I$176,MATCH(B69,'Long_TCAD'!$A$2:$A$176,0))),"",INDEX('Long_TCAD'!$I$2:$I$176,MATCH(B69,'Long_TCAD'!$A$2:$A$176,0))),"")</x:f>
        <x:v>84.3</x:v>
      </x:c>
      <x:c r="AA69" s="96" t="n">
        <x:f>IFERROR(IF(ISBLANK(INDEX('Long_TCAD'!$J$2:$J$176,MATCH(B69,'Long_TCAD'!$A$2:$A$176,0))),"",INDEX('Long_TCAD'!$J$2:$J$176,MATCH(B69,'Long_TCAD'!$A$2:$A$176,0))),"")</x:f>
        <x:v>0.0002832</x:v>
      </x:c>
      <x:c r="AB69" s="96" t="n">
        <x:f>IFERROR(IF(ISBLANK(INDEX('Long_TCAD'!$K$2:$K$176,MATCH(B69,'Long_TCAD'!$A$2:$A$176,0))),"",INDEX('Long_TCAD'!$K$2:$K$176,MATCH(B69,'Long_TCAD'!$A$2:$A$176,0))),"")</x:f>
        <x:v>6.722e-16</x:v>
      </x:c>
      <x:c r="AC69" s="95" t="n">
        <x:f>IF(OR(NOT(ISNUMBER(AA69)),NOT(ISNUMBER(AB69))),"",AA69/AB69)</x:f>
        <x:v>421303183576.3166</x:v>
      </x:c>
      <x:c r="AD69" s="93" t="n">
        <x:f>IF(NOT(ISNUMBER(Y69)),"",ABS(Y69-T69)*1000)</x:f>
        <x:v>5.643333333330669</x:v>
      </x:c>
      <x:c r="AE69" s="93" t="n">
        <x:f>IF(NOT(ISNUMBER(Z69)),"",ABS(Z69-U69))</x:f>
        <x:v>0.18549951664911646</x:v>
      </x:c>
      <x:c r="AF69" s="93" t="n">
        <x:f>IF(NOT(ISNUMBER(AA69)),"",ABS(LOG10(AA69)-LOG10(V69)))</x:f>
        <x:v>0.011294304037280156</x:v>
      </x:c>
      <x:c r="AG69" s="93" t="n">
        <x:f>IF(NOT(ISNUMBER(AB69)),"",ABS(LOG10(AB69)-LOG10(W69)))</x:f>
        <x:v>0.09198370443679948</x:v>
      </x:c>
      <x:c r="AH69" s="93" t="n">
        <x:f>IF(NOT(ISNUMBER(AC69)),"",ABS(LOG10(AC69)-LOG10(X69)))</x:f>
        <x:v>0.08068940039949979</x:v>
      </x:c>
      <x:c r="AI69" s="85" t="str">
        <x:f>IF(OR(NOT(ISNUMBER(Y69)),NOT(ISNUMBER(Z69)),NOT(ISNUMBER(AA69)),NOT(ISNUMBER(AB69))),"",IF(AND(Y69&gt;=0.3,Y69&lt;=1.2,Z69&lt;=200,AA69&gt;=1E-4,AB69&lt;=1E-6),"PASS","FAIL"))</x:f>
        <x:v>PASS</x:v>
      </x:c>
      <x:c r="AJ69" s="85" t="str"/>
    </x:row>
    <x:row r="70">
      <x:c r="A70" s="85" t="str">
        <x:v>L0360-19</x:v>
      </x:c>
      <x:c r="B70" s="85" t="str">
        <x:v>LR065</x:v>
      </x:c>
      <x:c r="C70" s="93" t="n">
        <x:v>0.36</x:v>
      </x:c>
      <x:c r="D70" s="93" t="str">
        <x:v>Practical</x:v>
      </x:c>
      <x:c r="E70" s="93" t="n">
        <x:v>1</x:v>
      </x:c>
      <x:c r="F70" s="94" t="n">
        <x:v>270618</x:v>
      </x:c>
      <x:c r="G70" s="93" t="n">
        <x:v>0.8409916678640335</x:v>
      </x:c>
      <x:c r="H70" s="93" t="n">
        <x:v>84.97712835123077</x:v>
      </x:c>
      <x:c r="I70" s="95" t="n">
        <x:v>0.00028203679941215935</x:v>
      </x:c>
      <x:c r="J70" s="95" t="n">
        <x:v>3.317662487671044e-16</x:v>
      </x:c>
      <x:c r="K70" s="95" t="n">
        <x:v>850106966758.2296</x:v>
      </x:c>
      <x:c r="L70" s="95" t="n">
        <x:v>566016002171441.8</x:v>
      </x:c>
      <x:c r="M70" s="95" t="n">
        <x:v>12.410375401646956</x:v>
      </x:c>
      <x:c r="N70" s="95" t="n">
        <x:v>27867462936311860</x:v>
      </x:c>
      <x:c r="O70" s="95" t="n">
        <x:v>15.862529470519062</x:v>
      </x:c>
      <x:c r="P70" s="93"/>
      <x:c r="Q70" s="95"/>
      <x:c r="R70" s="95"/>
      <x:c r="S70" s="97" t="n">
        <x:v>1</x:v>
      </x:c>
      <x:c r="T70" s="93" t="n">
        <x:v>0.8557966666666657</x:v>
      </x:c>
      <x:c r="U70" s="98" t="n">
        <x:v>85.38538842101562</x:v>
      </x:c>
      <x:c r="V70" s="95" t="n">
        <x:v>0.0002655747986498525</x:v>
      </x:c>
      <x:c r="W70" s="95" t="n">
        <x:v>3.4293626699781197e-16</x:v>
      </x:c>
      <x:c r="X70" s="95" t="n">
        <x:v>774414444336.2327</x:v>
      </x:c>
      <x:c r="Y70" s="99" t="n">
        <x:f>IFERROR(IF(ISBLANK(INDEX('Long_TCAD'!$H$2:$H$176,MATCH(B70,'Long_TCAD'!$A$2:$A$176,0))),"",INDEX('Long_TCAD'!$H$2:$H$176,MATCH(B70,'Long_TCAD'!$A$2:$A$176,0))),"")</x:f>
        <x:v>0.83</x:v>
      </x:c>
      <x:c r="Z70" s="100" t="n">
        <x:f>IFERROR(IF(ISBLANK(INDEX('Long_TCAD'!$I$2:$I$176,MATCH(B70,'Long_TCAD'!$A$2:$A$176,0))),"",INDEX('Long_TCAD'!$I$2:$I$176,MATCH(B70,'Long_TCAD'!$A$2:$A$176,0))),"")</x:f>
        <x:v>84.448</x:v>
      </x:c>
      <x:c r="AA70" s="96" t="n">
        <x:f>IFERROR(IF(ISBLANK(INDEX('Long_TCAD'!$J$2:$J$176,MATCH(B70,'Long_TCAD'!$A$2:$A$176,0))),"",INDEX('Long_TCAD'!$J$2:$J$176,MATCH(B70,'Long_TCAD'!$A$2:$A$176,0))),"")</x:f>
        <x:v>0.0002815</x:v>
      </x:c>
      <x:c r="AB70" s="96" t="n">
        <x:f>IFERROR(IF(ISBLANK(INDEX('Long_TCAD'!$K$2:$K$176,MATCH(B70,'Long_TCAD'!$A$2:$A$176,0))),"",INDEX('Long_TCAD'!$K$2:$K$176,MATCH(B70,'Long_TCAD'!$A$2:$A$176,0))),"")</x:f>
        <x:v>6.621e-16</x:v>
      </x:c>
      <x:c r="AC70" s="95" t="n">
        <x:f>IF(OR(NOT(ISNUMBER(AA70)),NOT(ISNUMBER(AB70))),"",AA70/AB70)</x:f>
        <x:v>425162362180.9395</x:v>
      </x:c>
      <x:c r="AD70" s="93" t="n">
        <x:f>IF(NOT(ISNUMBER(Y70)),"",ABS(Y70-T70)*1000)</x:f>
        <x:v>25.79666666666569</x:v>
      </x:c>
      <x:c r="AE70" s="93" t="n">
        <x:f>IF(NOT(ISNUMBER(Z70)),"",ABS(Z70-U70))</x:f>
        <x:v>0.9373884210156262</x:v>
      </x:c>
      <x:c r="AF70" s="93" t="n">
        <x:f>IF(NOT(ISNUMBER(AA70)),"",ABS(LOG10(AA70)-LOG10(V70)))</x:f>
        <x:v>0.025291538305340033</x:v>
      </x:c>
      <x:c r="AG70" s="93" t="n">
        <x:f>IF(NOT(ISNUMBER(AB70)),"",ABS(LOG10(AB70)-LOG10(W70)))</x:f>
        <x:v>0.2857101718122994</x:v>
      </x:c>
      <x:c r="AH70" s="93" t="n">
        <x:f>IF(NOT(ISNUMBER(AC70)),"",ABS(LOG10(AC70)-LOG10(X70)))</x:f>
        <x:v>0.2604186335070011</x:v>
      </x:c>
      <x:c r="AI70" s="85" t="str">
        <x:f>IF(OR(NOT(ISNUMBER(Y70)),NOT(ISNUMBER(Z70)),NOT(ISNUMBER(AA70)),NOT(ISNUMBER(AB70))),"",IF(AND(Y70&gt;=0.3,Y70&lt;=1.2,Z70&lt;=200,AA70&gt;=1E-4,AB70&lt;=1E-6),"PASS","FAIL"))</x:f>
        <x:v>PASS</x:v>
      </x:c>
      <x:c r="AJ70" s="85" t="str"/>
    </x:row>
    <x:row r="71">
      <x:c r="A71" s="85" t="str">
        <x:v>L0360-20</x:v>
      </x:c>
      <x:c r="B71" s="85" t="str">
        <x:v>LR066</x:v>
      </x:c>
      <x:c r="C71" s="93" t="n">
        <x:v>0.36</x:v>
      </x:c>
      <x:c r="D71" s="93" t="str">
        <x:v>Practical</x:v>
      </x:c>
      <x:c r="E71" s="93" t="n">
        <x:v>1</x:v>
      </x:c>
      <x:c r="F71" s="94" t="n">
        <x:v>301655</x:v>
      </x:c>
      <x:c r="G71" s="93" t="n">
        <x:v>0.8182277805637385</x:v>
      </x:c>
      <x:c r="H71" s="93" t="n">
        <x:v>85.04710549669907</x:v>
      </x:c>
      <x:c r="I71" s="95" t="n">
        <x:v>0.0002705776726136821</x:v>
      </x:c>
      <x:c r="J71" s="95" t="n">
        <x:v>6.19609370462944e-16</x:v>
      </x:c>
      <x:c r="K71" s="95" t="n">
        <x:v>436690736958.2205</x:v>
      </x:c>
      <x:c r="L71" s="95" t="n">
        <x:v>30868259676340.258</x:v>
      </x:c>
      <x:c r="M71" s="95" t="n">
        <x:v>66.18527556978586</x:v>
      </x:c>
      <x:c r="N71" s="95" t="n">
        <x:v>54473351530119540</x:v>
      </x:c>
      <x:c r="O71" s="95" t="n">
        <x:v>23.06334969650465</x:v>
      </x:c>
      <x:c r="P71" s="93"/>
      <x:c r="Q71" s="95"/>
      <x:c r="R71" s="95"/>
      <x:c r="S71" s="97" t="n">
        <x:v>1</x:v>
      </x:c>
      <x:c r="T71" s="93" t="n">
        <x:v>0.8187733333333314</x:v>
      </x:c>
      <x:c r="U71" s="98" t="n">
        <x:v>83.82820256519429</x:v>
      </x:c>
      <x:c r="V71" s="95" t="n">
        <x:v>0.00026765360049447746</x:v>
      </x:c>
      <x:c r="W71" s="95" t="n">
        <x:v>6.092599005622248e-16</x:v>
      </x:c>
      <x:c r="X71" s="95" t="n">
        <x:v>439309398579.3039</x:v>
      </x:c>
      <x:c r="Y71" s="99" t="n">
        <x:f>IFERROR(IF(ISBLANK(INDEX('Long_TCAD'!$H$2:$H$176,MATCH(B71,'Long_TCAD'!$A$2:$A$176,0))),"",INDEX('Long_TCAD'!$H$2:$H$176,MATCH(B71,'Long_TCAD'!$A$2:$A$176,0))),"")</x:f>
        <x:v>0.811</x:v>
      </x:c>
      <x:c r="Z71" s="100" t="n">
        <x:f>IFERROR(IF(ISBLANK(INDEX('Long_TCAD'!$I$2:$I$176,MATCH(B71,'Long_TCAD'!$A$2:$A$176,0))),"",INDEX('Long_TCAD'!$I$2:$I$176,MATCH(B71,'Long_TCAD'!$A$2:$A$176,0))),"")</x:f>
        <x:v>83.464</x:v>
      </x:c>
      <x:c r="AA71" s="96" t="n">
        <x:f>IFERROR(IF(ISBLANK(INDEX('Long_TCAD'!$J$2:$J$176,MATCH(B71,'Long_TCAD'!$A$2:$A$176,0))),"",INDEX('Long_TCAD'!$J$2:$J$176,MATCH(B71,'Long_TCAD'!$A$2:$A$176,0))),"")</x:f>
        <x:v>0.0002876</x:v>
      </x:c>
      <x:c r="AB71" s="96" t="n">
        <x:f>IFERROR(IF(ISBLANK(INDEX('Long_TCAD'!$K$2:$K$176,MATCH(B71,'Long_TCAD'!$A$2:$A$176,0))),"",INDEX('Long_TCAD'!$K$2:$K$176,MATCH(B71,'Long_TCAD'!$A$2:$A$176,0))),"")</x:f>
        <x:v>1.036e-15</x:v>
      </x:c>
      <x:c r="AC71" s="95" t="n">
        <x:f>IF(OR(NOT(ISNUMBER(AA71)),NOT(ISNUMBER(AB71))),"",AA71/AB71)</x:f>
        <x:v>277606177606.1776</x:v>
      </x:c>
      <x:c r="AD71" s="93" t="n">
        <x:f>IF(NOT(ISNUMBER(Y71)),"",ABS(Y71-T71)*1000)</x:f>
        <x:v>7.7733333333313</x:v>
      </x:c>
      <x:c r="AE71" s="93" t="n">
        <x:f>IF(NOT(ISNUMBER(Z71)),"",ABS(Z71-U71))</x:f>
        <x:v>0.3642025651942902</x:v>
      </x:c>
      <x:c r="AF71" s="93" t="n">
        <x:f>IF(NOT(ISNUMBER(AA71)),"",ABS(LOG10(AA71)-LOG10(V71)))</x:f>
        <x:v>0.03121579179312972</x:v>
      </x:c>
      <x:c r="AG71" s="93" t="n">
        <x:f>IF(NOT(ISNUMBER(AB71)),"",ABS(LOG10(AB71)-LOG10(W71)))</x:f>
        <x:v>0.23055716014640026</x:v>
      </x:c>
      <x:c r="AH71" s="93" t="n">
        <x:f>IF(NOT(ISNUMBER(AC71)),"",ABS(LOG10(AC71)-LOG10(X71)))</x:f>
        <x:v>0.19934136835339977</x:v>
      </x:c>
      <x:c r="AI71" s="85" t="str">
        <x:f>IF(OR(NOT(ISNUMBER(Y71)),NOT(ISNUMBER(Z71)),NOT(ISNUMBER(AA71)),NOT(ISNUMBER(AB71))),"",IF(AND(Y71&gt;=0.3,Y71&lt;=1.2,Z71&lt;=200,AA71&gt;=1E-4,AB71&lt;=1E-6),"PASS","FAIL"))</x:f>
        <x:v>PASS</x:v>
      </x:c>
      <x:c r="AJ71" s="85" t="str"/>
    </x:row>
    <x:row r="72">
      <x:c r="A72" s="85" t="str">
        <x:v>L0360-21</x:v>
      </x:c>
      <x:c r="B72" s="85" t="str">
        <x:v>LR067</x:v>
      </x:c>
      <x:c r="C72" s="93" t="n">
        <x:v>0.36</x:v>
      </x:c>
      <x:c r="D72" s="93" t="str">
        <x:v>Practical</x:v>
      </x:c>
      <x:c r="E72" s="93" t="n">
        <x:v>1</x:v>
      </x:c>
      <x:c r="F72" s="94" t="n">
        <x:v>315295</x:v>
      </x:c>
      <x:c r="G72" s="93" t="n">
        <x:v>0.8294636307572746</x:v>
      </x:c>
      <x:c r="H72" s="93" t="n">
        <x:v>83.414</x:v>
      </x:c>
      <x:c r="I72" s="95" t="n">
        <x:v>0.00029199372955515353</x:v>
      </x:c>
      <x:c r="J72" s="95" t="n">
        <x:v>5.77428747987118e-16</x:v>
      </x:c>
      <x:c r="K72" s="95" t="n">
        <x:v>505679238474.0562</x:v>
      </x:c>
      <x:c r="L72" s="95" t="n">
        <x:v>557177010922207.6</x:v>
      </x:c>
      <x:c r="M72" s="95" t="n">
        <x:v>37.14267330531688</x:v>
      </x:c>
      <x:c r="N72" s="95" t="n">
        <x:v>44828426618598030</x:v>
      </x:c>
      <x:c r="O72" s="95" t="n">
        <x:v>27.919377431388096</x:v>
      </x:c>
      <x:c r="P72" s="93"/>
      <x:c r="Q72" s="95"/>
      <x:c r="R72" s="95"/>
      <x:c r="S72" s="97" t="n">
        <x:v>0.9866666666666667</x:v>
      </x:c>
      <x:c r="T72" s="93" t="n">
        <x:v>0.8280299999999994</x:v>
      </x:c>
      <x:c r="U72" s="98" t="n">
        <x:v>84.406381725597</x:v>
      </x:c>
      <x:c r="V72" s="95" t="n">
        <x:v>0.0002837258190968579</x:v>
      </x:c>
      <x:c r="W72" s="95" t="n">
        <x:v>5.810124985799858e-16</x:v>
      </x:c>
      <x:c r="X72" s="95" t="n">
        <x:v>488329975328.0582</x:v>
      </x:c>
      <x:c r="Y72" s="99" t="n">
        <x:f>IFERROR(IF(ISBLANK(INDEX('Long_TCAD'!$H$2:$H$176,MATCH(B72,'Long_TCAD'!$A$2:$A$176,0))),"",INDEX('Long_TCAD'!$H$2:$H$176,MATCH(B72,'Long_TCAD'!$A$2:$A$176,0))),"")</x:f>
        <x:v>0.801</x:v>
      </x:c>
      <x:c r="Z72" s="100" t="n">
        <x:f>IFERROR(IF(ISBLANK(INDEX('Long_TCAD'!$I$2:$I$176,MATCH(B72,'Long_TCAD'!$A$2:$A$176,0))),"",INDEX('Long_TCAD'!$I$2:$I$176,MATCH(B72,'Long_TCAD'!$A$2:$A$176,0))),"")</x:f>
        <x:v>83.467</x:v>
      </x:c>
      <x:c r="AA72" s="96" t="n">
        <x:f>IFERROR(IF(ISBLANK(INDEX('Long_TCAD'!$J$2:$J$176,MATCH(B72,'Long_TCAD'!$A$2:$A$176,0))),"",INDEX('Long_TCAD'!$J$2:$J$176,MATCH(B72,'Long_TCAD'!$A$2:$A$176,0))),"")</x:f>
        <x:v>0.0002998</x:v>
      </x:c>
      <x:c r="AB72" s="96" t="n">
        <x:f>IFERROR(IF(ISBLANK(INDEX('Long_TCAD'!$K$2:$K$176,MATCH(B72,'Long_TCAD'!$A$2:$A$176,0))),"",INDEX('Long_TCAD'!$K$2:$K$176,MATCH(B72,'Long_TCAD'!$A$2:$A$176,0))),"")</x:f>
        <x:v>1.479e-15</x:v>
      </x:c>
      <x:c r="AC72" s="95" t="n">
        <x:f>IF(OR(NOT(ISNUMBER(AA72)),NOT(ISNUMBER(AB72))),"",AA72/AB72)</x:f>
        <x:v>202704530087.89725</x:v>
      </x:c>
      <x:c r="AD72" s="93" t="n">
        <x:f>IF(NOT(ISNUMBER(Y72)),"",ABS(Y72-T72)*1000)</x:f>
        <x:v>27.029999999999333</x:v>
      </x:c>
      <x:c r="AE72" s="93" t="n">
        <x:f>IF(NOT(ISNUMBER(Z72)),"",ABS(Z72-U72))</x:f>
        <x:v>0.9393817255970021</x:v>
      </x:c>
      <x:c r="AF72" s="93" t="n">
        <x:f>IF(NOT(ISNUMBER(AA72)),"",ABS(LOG10(AA72)-LOG10(V72)))</x:f>
        <x:v>0.023932770047809804</x:v>
      </x:c>
      <x:c r="AG72" s="93" t="n">
        <x:f>IF(NOT(ISNUMBER(AB72)),"",ABS(LOG10(AB72)-LOG10(W72)))</x:f>
        <x:v>0.4057826990833995</x:v>
      </x:c>
      <x:c r="AH72" s="93" t="n">
        <x:f>IF(NOT(ISNUMBER(AC72)),"",ABS(LOG10(AC72)-LOG10(X72)))</x:f>
        <x:v>0.3818499290356012</x:v>
      </x:c>
      <x:c r="AI72" s="85" t="str">
        <x:f>IF(OR(NOT(ISNUMBER(Y72)),NOT(ISNUMBER(Z72)),NOT(ISNUMBER(AA72)),NOT(ISNUMBER(AB72))),"",IF(AND(Y72&gt;=0.3,Y72&lt;=1.2,Z72&lt;=200,AA72&gt;=1E-4,AB72&lt;=1E-6),"PASS","FAIL"))</x:f>
        <x:v>PASS</x:v>
      </x:c>
      <x:c r="AJ72" s="85" t="str"/>
    </x:row>
    <x:row r="73">
      <x:c r="A73" s="85" t="str">
        <x:v>L0360-22</x:v>
      </x:c>
      <x:c r="B73" s="85" t="str">
        <x:v>LR068</x:v>
      </x:c>
      <x:c r="C73" s="93" t="n">
        <x:v>0.36</x:v>
      </x:c>
      <x:c r="D73" s="93" t="str">
        <x:v>Practical</x:v>
      </x:c>
      <x:c r="E73" s="93" t="n">
        <x:v>1</x:v>
      </x:c>
      <x:c r="F73" s="94" t="n">
        <x:v>302563</x:v>
      </x:c>
      <x:c r="G73" s="93" t="n">
        <x:v>0.845575857607204</x:v>
      </x:c>
      <x:c r="H73" s="93" t="n">
        <x:v>83.414</x:v>
      </x:c>
      <x:c r="I73" s="95" t="n">
        <x:v>0.00027656311764625083</x:v>
      </x:c>
      <x:c r="J73" s="95" t="n">
        <x:v>3.7669630325921917e-16</x:v>
      </x:c>
      <x:c r="K73" s="95" t="n">
        <x:v>734180599207.8906</x:v>
      </x:c>
      <x:c r="L73" s="95" t="n">
        <x:v>372167378869197.3</x:v>
      </x:c>
      <x:c r="M73" s="95" t="n">
        <x:v>20.802402132554246</x:v>
      </x:c>
      <x:c r="N73" s="95" t="n">
        <x:v>8776636598575716</x:v>
      </x:c>
      <x:c r="O73" s="95" t="n">
        <x:v>12.65582860600339</x:v>
      </x:c>
      <x:c r="P73" s="93"/>
      <x:c r="Q73" s="95"/>
      <x:c r="R73" s="95"/>
      <x:c r="S73" s="97" t="n">
        <x:v>1</x:v>
      </x:c>
      <x:c r="T73" s="93" t="n">
        <x:v>0.8457800000000016</x:v>
      </x:c>
      <x:c r="U73" s="98" t="n">
        <x:v>85.10510342804875</x:v>
      </x:c>
      <x:c r="V73" s="95" t="n">
        <x:v>0.0002642391731464688</x:v>
      </x:c>
      <x:c r="W73" s="95" t="n">
        <x:v>3.8158462560285227e-16</x:v>
      </x:c>
      <x:c r="X73" s="95" t="n">
        <x:v>692478562858.78</x:v>
      </x:c>
      <x:c r="Y73" s="99" t="n">
        <x:f>IFERROR(IF(ISBLANK(INDEX('Long_TCAD'!$H$2:$H$176,MATCH(B73,'Long_TCAD'!$A$2:$A$176,0))),"",INDEX('Long_TCAD'!$H$2:$H$176,MATCH(B73,'Long_TCAD'!$A$2:$A$176,0))),"")</x:f>
        <x:v>0.841</x:v>
      </x:c>
      <x:c r="Z73" s="100" t="n">
        <x:f>IFERROR(IF(ISBLANK(INDEX('Long_TCAD'!$I$2:$I$176,MATCH(B73,'Long_TCAD'!$A$2:$A$176,0))),"",INDEX('Long_TCAD'!$I$2:$I$176,MATCH(B73,'Long_TCAD'!$A$2:$A$176,0))),"")</x:f>
        <x:v>84.913</x:v>
      </x:c>
      <x:c r="AA73" s="96" t="n">
        <x:f>IFERROR(IF(ISBLANK(INDEX('Long_TCAD'!$J$2:$J$176,MATCH(B73,'Long_TCAD'!$A$2:$A$176,0))),"",INDEX('Long_TCAD'!$J$2:$J$176,MATCH(B73,'Long_TCAD'!$A$2:$A$176,0))),"")</x:f>
        <x:v>0.0002742</x:v>
      </x:c>
      <x:c r="AB73" s="96" t="n">
        <x:f>IFERROR(IF(ISBLANK(INDEX('Long_TCAD'!$K$2:$K$176,MATCH(B73,'Long_TCAD'!$A$2:$A$176,0))),"",INDEX('Long_TCAD'!$K$2:$K$176,MATCH(B73,'Long_TCAD'!$A$2:$A$176,0))),"")</x:f>
        <x:v>4.641e-16</x:v>
      </x:c>
      <x:c r="AC73" s="95" t="n">
        <x:f>IF(OR(NOT(ISNUMBER(AA73)),NOT(ISNUMBER(AB73))),"",AA73/AB73)</x:f>
        <x:v>590820943762.1202</x:v>
      </x:c>
      <x:c r="AD73" s="93" t="n">
        <x:f>IF(NOT(ISNUMBER(Y73)),"",ABS(Y73-T73)*1000)</x:f>
        <x:v>4.780000000001672</x:v>
      </x:c>
      <x:c r="AE73" s="93" t="n">
        <x:f>IF(NOT(ISNUMBER(Z73)),"",ABS(Z73-U73))</x:f>
        <x:v>0.19210342804875324</x:v>
      </x:c>
      <x:c r="AF73" s="93" t="n">
        <x:f>IF(NOT(ISNUMBER(AA73)),"",ABS(LOG10(AA73)-LOG10(V73)))</x:f>
        <x:v>0.016070248756229866</x:v>
      </x:c>
      <x:c r="AG73" s="93" t="n">
        <x:f>IF(NOT(ISNUMBER(AB73)),"",ABS(LOG10(AB73)-LOG10(W73)))</x:f>
        <x:v>0.08502070016040086</x:v>
      </x:c>
      <x:c r="AH73" s="93" t="n">
        <x:f>IF(NOT(ISNUMBER(AC73)),"",ABS(LOG10(AC73)-LOG10(X73)))</x:f>
        <x:v>0.06895045140420031</x:v>
      </x:c>
      <x:c r="AI73" s="85" t="str">
        <x:f>IF(OR(NOT(ISNUMBER(Y73)),NOT(ISNUMBER(Z73)),NOT(ISNUMBER(AA73)),NOT(ISNUMBER(AB73))),"",IF(AND(Y73&gt;=0.3,Y73&lt;=1.2,Z73&lt;=200,AA73&gt;=1E-4,AB73&lt;=1E-6),"PASS","FAIL"))</x:f>
        <x:v>PASS</x:v>
      </x:c>
      <x:c r="AJ73" s="85" t="str"/>
    </x:row>
    <x:row r="74">
      <x:c r="A74" s="85" t="str">
        <x:v>L0360-23</x:v>
      </x:c>
      <x:c r="B74" s="85" t="str">
        <x:v>LR069</x:v>
      </x:c>
      <x:c r="C74" s="93" t="n">
        <x:v>0.36</x:v>
      </x:c>
      <x:c r="D74" s="93" t="str">
        <x:v>Practical</x:v>
      </x:c>
      <x:c r="E74" s="93" t="n">
        <x:v>1</x:v>
      </x:c>
      <x:c r="F74" s="94" t="n">
        <x:v>309345</x:v>
      </x:c>
      <x:c r="G74" s="93" t="n">
        <x:v>0.8292489625620656</x:v>
      </x:c>
      <x:c r="H74" s="93" t="n">
        <x:v>85.54017826642293</x:v>
      </x:c>
      <x:c r="I74" s="95" t="n">
        <x:v>0.00022579034690576048</x:v>
      </x:c>
      <x:c r="J74" s="95" t="n">
        <x:v>4.370823769568105e-16</x:v>
      </x:c>
      <x:c r="K74" s="95" t="n">
        <x:v>516585336791.2647</x:v>
      </x:c>
      <x:c r="L74" s="95" t="n">
        <x:v>51312838091245.16</x:v>
      </x:c>
      <x:c r="M74" s="95" t="n">
        <x:v>13.347664992876636</x:v>
      </x:c>
      <x:c r="N74" s="95" t="n">
        <x:v>360161368823005.9</x:v>
      </x:c>
      <x:c r="O74" s="95" t="n">
        <x:v>37.32401363250938</x:v>
      </x:c>
      <x:c r="P74" s="93"/>
      <x:c r="Q74" s="95"/>
      <x:c r="R74" s="95"/>
      <x:c r="S74" s="97" t="n">
        <x:v>1</x:v>
      </x:c>
      <x:c r="T74" s="93" t="n">
        <x:v>0.8336833333333353</x:v>
      </x:c>
      <x:c r="U74" s="98" t="n">
        <x:v>85.26709565670156</x:v>
      </x:c>
      <x:c r="V74" s="95" t="n">
        <x:v>0.00023429054999824794</x:v>
      </x:c>
      <x:c r="W74" s="95" t="n">
        <x:v>4.584476205731918e-16</x:v>
      </x:c>
      <x:c r="X74" s="95" t="n">
        <x:v>511051948977.98175</x:v>
      </x:c>
      <x:c r="Y74" s="99" t="n">
        <x:f>IFERROR(IF(ISBLANK(INDEX('Long_TCAD'!$H$2:$H$176,MATCH(B74,'Long_TCAD'!$A$2:$A$176,0))),"",INDEX('Long_TCAD'!$H$2:$H$176,MATCH(B74,'Long_TCAD'!$A$2:$A$176,0))),"")</x:f>
        <x:v>0.84</x:v>
      </x:c>
      <x:c r="Z74" s="100" t="n">
        <x:f>IFERROR(IF(ISBLANK(INDEX('Long_TCAD'!$I$2:$I$176,MATCH(B74,'Long_TCAD'!$A$2:$A$176,0))),"",INDEX('Long_TCAD'!$I$2:$I$176,MATCH(B74,'Long_TCAD'!$A$2:$A$176,0))),"")</x:f>
        <x:v>85.091</x:v>
      </x:c>
      <x:c r="AA74" s="96" t="n">
        <x:f>IFERROR(IF(ISBLANK(INDEX('Long_TCAD'!$J$2:$J$176,MATCH(B74,'Long_TCAD'!$A$2:$A$176,0))),"",INDEX('Long_TCAD'!$J$2:$J$176,MATCH(B74,'Long_TCAD'!$A$2:$A$176,0))),"")</x:f>
        <x:v>0.0002565</x:v>
      </x:c>
      <x:c r="AB74" s="96" t="n">
        <x:f>IFERROR(IF(ISBLANK(INDEX('Long_TCAD'!$K$2:$K$176,MATCH(B74,'Long_TCAD'!$A$2:$A$176,0))),"",INDEX('Long_TCAD'!$K$2:$K$176,MATCH(B74,'Long_TCAD'!$A$2:$A$176,0))),"")</x:f>
        <x:v>4.791e-16</x:v>
      </x:c>
      <x:c r="AC74" s="95" t="n">
        <x:f>IF(OR(NOT(ISNUMBER(AA74)),NOT(ISNUMBER(AB74))),"",AA74/AB74)</x:f>
        <x:v>535378835316.2179</x:v>
      </x:c>
      <x:c r="AD74" s="93" t="n">
        <x:f>IF(NOT(ISNUMBER(Y74)),"",ABS(Y74-T74)*1000)</x:f>
        <x:v>6.316666666664639</x:v>
      </x:c>
      <x:c r="AE74" s="93" t="n">
        <x:f>IF(NOT(ISNUMBER(Z74)),"",ABS(Z74-U74))</x:f>
        <x:v>0.17609565670156258</x:v>
      </x:c>
      <x:c r="AF74" s="93" t="n">
        <x:f>IF(NOT(ISNUMBER(AA74)),"",ABS(LOG10(AA74)-LOG10(V74)))</x:f>
        <x:v>0.039332597566120064</x:v>
      </x:c>
      <x:c r="AG74" s="93" t="n">
        <x:f>IF(NOT(ISNUMBER(AB74)),"",ABS(LOG10(AB74)-LOG10(W74)))</x:f>
        <x:v>0.01913644785429902</x:v>
      </x:c>
      <x:c r="AH74" s="93" t="n">
        <x:f>IF(NOT(ISNUMBER(AC74)),"",ABS(LOG10(AC74)-LOG10(X74)))</x:f>
        <x:v>0.020196149711800615</x:v>
      </x:c>
      <x:c r="AI74" s="85" t="str">
        <x:f>IF(OR(NOT(ISNUMBER(Y74)),NOT(ISNUMBER(Z74)),NOT(ISNUMBER(AA74)),NOT(ISNUMBER(AB74))),"",IF(AND(Y74&gt;=0.3,Y74&lt;=1.2,Z74&lt;=200,AA74&gt;=1E-4,AB74&lt;=1E-6),"PASS","FAIL"))</x:f>
        <x:v>PASS</x:v>
      </x:c>
      <x:c r="AJ74" s="85" t="str"/>
    </x:row>
    <x:row r="75">
      <x:c r="A75" s="85" t="str">
        <x:v>L0360-24</x:v>
      </x:c>
      <x:c r="B75" s="85" t="str">
        <x:v>LR061</x:v>
      </x:c>
      <x:c r="C75" s="93" t="n">
        <x:v>0.36</x:v>
      </x:c>
      <x:c r="D75" s="93" t="str">
        <x:v>Practical</x:v>
      </x:c>
      <x:c r="E75" s="93" t="n">
        <x:v>1</x:v>
      </x:c>
      <x:c r="F75" s="94" t="n">
        <x:v>300932</x:v>
      </x:c>
      <x:c r="G75" s="93" t="n">
        <x:v>0.8393668672853617</x:v>
      </x:c>
      <x:c r="H75" s="93" t="n">
        <x:v>84.1586401530507</x:v>
      </x:c>
      <x:c r="I75" s="95" t="n">
        <x:v>0.00029745817812684624</x:v>
      </x:c>
      <x:c r="J75" s="95" t="n">
        <x:v>3.8270729728782615e-16</x:v>
      </x:c>
      <x:c r="K75" s="95" t="n">
        <x:v>777247207552.2881</x:v>
      </x:c>
      <x:c r="L75" s="95" t="n">
        <x:v>564231343306139.2</x:v>
      </x:c>
      <x:c r="M75" s="95" t="n">
        <x:v>14.856603029928523</x:v>
      </x:c>
      <x:c r="N75" s="95" t="n">
        <x:v>23485992543713604</x:v>
      </x:c>
      <x:c r="O75" s="95" t="n">
        <x:v>22.500330320651447</x:v>
      </x:c>
      <x:c r="P75" s="93"/>
      <x:c r="Q75" s="95"/>
      <x:c r="R75" s="95"/>
      <x:c r="S75" s="97" t="n">
        <x:v>0.9966666666666667</x:v>
      </x:c>
      <x:c r="T75" s="93" t="n">
        <x:v>0.852760000000001</x:v>
      </x:c>
      <x:c r="U75" s="98" t="n">
        <x:v>85.25414635292319</x:v>
      </x:c>
      <x:c r="V75" s="95" t="n">
        <x:v>0.0002679449124230009</x:v>
      </x:c>
      <x:c r="W75" s="95" t="n">
        <x:v>3.976043550673553e-16</x:v>
      </x:c>
      <x:c r="X75" s="95" t="n">
        <x:v>673898333879.1908</x:v>
      </x:c>
      <x:c r="Y75" s="99" t="n">
        <x:f>IFERROR(IF(ISBLANK(INDEX('Long_TCAD'!$H$2:$H$176,MATCH(B75,'Long_TCAD'!$A$2:$A$176,0))),"",INDEX('Long_TCAD'!$H$2:$H$176,MATCH(B75,'Long_TCAD'!$A$2:$A$176,0))),"")</x:f>
        <x:v>0.827</x:v>
      </x:c>
      <x:c r="Z75" s="100" t="n">
        <x:f>IFERROR(IF(ISBLANK(INDEX('Long_TCAD'!$I$2:$I$176,MATCH(B75,'Long_TCAD'!$A$2:$A$176,0))),"",INDEX('Long_TCAD'!$I$2:$I$176,MATCH(B75,'Long_TCAD'!$A$2:$A$176,0))),"")</x:f>
        <x:v>84.255</x:v>
      </x:c>
      <x:c r="AA75" s="96" t="n">
        <x:f>IFERROR(IF(ISBLANK(INDEX('Long_TCAD'!$J$2:$J$176,MATCH(B75,'Long_TCAD'!$A$2:$A$176,0))),"",INDEX('Long_TCAD'!$J$2:$J$176,MATCH(B75,'Long_TCAD'!$A$2:$A$176,0))),"")</x:f>
        <x:v>0.0002836</x:v>
      </x:c>
      <x:c r="AB75" s="96" t="n">
        <x:f>IFERROR(IF(ISBLANK(INDEX('Long_TCAD'!$K$2:$K$176,MATCH(B75,'Long_TCAD'!$A$2:$A$176,0))),"",INDEX('Long_TCAD'!$K$2:$K$176,MATCH(B75,'Long_TCAD'!$A$2:$A$176,0))),"")</x:f>
        <x:v>6.457e-16</x:v>
      </x:c>
      <x:c r="AC75" s="95" t="n">
        <x:f>IF(OR(NOT(ISNUMBER(AA75)),NOT(ISNUMBER(AB75))),"",AA75/AB75)</x:f>
        <x:v>439213256930.4631</x:v>
      </x:c>
      <x:c r="AD75" s="93" t="n">
        <x:f>IF(NOT(ISNUMBER(Y75)),"",ABS(Y75-T75)*1000)</x:f>
        <x:v>25.760000000001003</x:v>
      </x:c>
      <x:c r="AE75" s="93" t="n">
        <x:f>IF(NOT(ISNUMBER(Z75)),"",ABS(Z75-U75))</x:f>
        <x:v>0.9991463529231908</x:v>
      </x:c>
      <x:c r="AF75" s="93" t="n">
        <x:f>IF(NOT(ISNUMBER(AA75)),"",ABS(LOG10(AA75)-LOG10(V75)))</x:f>
        <x:v>0.024660711175790162</x:v>
      </x:c>
      <x:c r="AG75" s="93" t="n">
        <x:f>IF(NOT(ISNUMBER(AB75)),"",ABS(LOG10(AB75)-LOG10(W75)))</x:f>
        <x:v>0.21057965371030107</x:v>
      </x:c>
      <x:c r="AH75" s="93" t="n">
        <x:f>IF(NOT(ISNUMBER(AC75)),"",ABS(LOG10(AC75)-LOG10(X75)))</x:f>
        <x:v>0.18591894253449937</x:v>
      </x:c>
      <x:c r="AI75" s="85" t="str">
        <x:f>IF(OR(NOT(ISNUMBER(Y75)),NOT(ISNUMBER(Z75)),NOT(ISNUMBER(AA75)),NOT(ISNUMBER(AB75))),"",IF(AND(Y75&gt;=0.3,Y75&lt;=1.2,Z75&lt;=200,AA75&gt;=1E-4,AB75&lt;=1E-6),"PASS","FAIL"))</x:f>
        <x:v>PASS</x:v>
      </x:c>
      <x:c r="AJ75" s="85" t="str"/>
    </x:row>
    <x:row r="76">
      <x:c r="A76" s="85" t="str">
        <x:v>L0360-25</x:v>
      </x:c>
      <x:c r="B76" s="85" t="str">
        <x:v>LR070</x:v>
      </x:c>
      <x:c r="C76" s="93" t="n">
        <x:v>0.36</x:v>
      </x:c>
      <x:c r="D76" s="93" t="str">
        <x:v>Practical</x:v>
      </x:c>
      <x:c r="E76" s="93" t="n">
        <x:v>1</x:v>
      </x:c>
      <x:c r="F76" s="94" t="n">
        <x:v>305535</x:v>
      </x:c>
      <x:c r="G76" s="93" t="n">
        <x:v>0.8448313726896526</x:v>
      </x:c>
      <x:c r="H76" s="93" t="n">
        <x:v>85.51417159761846</x:v>
      </x:c>
      <x:c r="I76" s="95" t="n">
        <x:v>0.0002368095823078391</x:v>
      </x:c>
      <x:c r="J76" s="95" t="n">
        <x:v>3.875383186047554e-16</x:v>
      </x:c>
      <x:c r="K76" s="95" t="n">
        <x:v>611061076903.1014</x:v>
      </x:c>
      <x:c r="L76" s="95" t="n">
        <x:v>50481341052122.28</x:v>
      </x:c>
      <x:c r="M76" s="95" t="n">
        <x:v>18.919515339277368</x:v>
      </x:c>
      <x:c r="N76" s="95" t="n">
        <x:v>548815003317627.9</x:v>
      </x:c>
      <x:c r="O76" s="95" t="n">
        <x:v>29.444289600555635</x:v>
      </x:c>
      <x:c r="P76" s="93"/>
      <x:c r="Q76" s="95"/>
      <x:c r="R76" s="95"/>
      <x:c r="S76" s="97" t="n">
        <x:v>1</x:v>
      </x:c>
      <x:c r="T76" s="93" t="n">
        <x:v>0.8367666666666679</x:v>
      </x:c>
      <x:c r="U76" s="98" t="n">
        <x:v>85.35910615190515</x:v>
      </x:c>
      <x:c r="V76" s="95" t="n">
        <x:v>0.00023897614404422372</x:v>
      </x:c>
      <x:c r="W76" s="95" t="n">
        <x:v>3.95938092621002e-16</x:v>
      </x:c>
      <x:c r="X76" s="95" t="n">
        <x:v>603569468303.1555</x:v>
      </x:c>
      <x:c r="Y76" s="99" t="n">
        <x:f>IFERROR(IF(ISBLANK(INDEX('Long_TCAD'!$H$2:$H$176,MATCH(B76,'Long_TCAD'!$A$2:$A$176,0))),"",INDEX('Long_TCAD'!$H$2:$H$176,MATCH(B76,'Long_TCAD'!$A$2:$A$176,0))),"")</x:f>
        <x:v>0.845</x:v>
      </x:c>
      <x:c r="Z76" s="100" t="n">
        <x:f>IFERROR(IF(ISBLANK(INDEX('Long_TCAD'!$I$2:$I$176,MATCH(B76,'Long_TCAD'!$A$2:$A$176,0))),"",INDEX('Long_TCAD'!$I$2:$I$176,MATCH(B76,'Long_TCAD'!$A$2:$A$176,0))),"")</x:f>
        <x:v>85.224</x:v>
      </x:c>
      <x:c r="AA76" s="96" t="n">
        <x:f>IFERROR(IF(ISBLANK(INDEX('Long_TCAD'!$J$2:$J$176,MATCH(B76,'Long_TCAD'!$A$2:$A$176,0))),"",INDEX('Long_TCAD'!$J$2:$J$176,MATCH(B76,'Long_TCAD'!$A$2:$A$176,0))),"")</x:f>
        <x:v>0.0002563</x:v>
      </x:c>
      <x:c r="AB76" s="96" t="n">
        <x:f>IFERROR(IF(ISBLANK(INDEX('Long_TCAD'!$K$2:$K$176,MATCH(B76,'Long_TCAD'!$A$2:$A$176,0))),"",INDEX('Long_TCAD'!$K$2:$K$176,MATCH(B76,'Long_TCAD'!$A$2:$A$176,0))),"")</x:f>
        <x:v>4.316e-16</x:v>
      </x:c>
      <x:c r="AC76" s="95" t="n">
        <x:f>IF(OR(NOT(ISNUMBER(AA76)),NOT(ISNUMBER(AB76))),"",AA76/AB76)</x:f>
        <x:v>593836886005.5607</x:v>
      </x:c>
      <x:c r="AD76" s="93" t="n">
        <x:f>IF(NOT(ISNUMBER(Y76)),"",ABS(Y76-T76)*1000)</x:f>
        <x:v>8.233333333332094</x:v>
      </x:c>
      <x:c r="AE76" s="93" t="n">
        <x:f>IF(NOT(ISNUMBER(Z76)),"",ABS(Z76-U76))</x:f>
        <x:v>0.1351061519051484</x:v>
      </x:c>
      <x:c r="AF76" s="93" t="n">
        <x:f>IF(NOT(ISNUMBER(AA76)),"",ABS(LOG10(AA76)-LOG10(V76)))</x:f>
        <x:v>0.03039405681375973</x:v>
      </x:c>
      <x:c r="AG76" s="93" t="n">
        <x:f>IF(NOT(ISNUMBER(AB76)),"",ABS(LOG10(AB76)-LOG10(W76)))</x:f>
        <x:v>0.03745414941590042</x:v>
      </x:c>
      <x:c r="AH76" s="93" t="n">
        <x:f>IF(NOT(ISNUMBER(AC76)),"",ABS(LOG10(AC76)-LOG10(X76)))</x:f>
        <x:v>0.007060092602099388</x:v>
      </x:c>
      <x:c r="AI76" s="85" t="str">
        <x:f>IF(OR(NOT(ISNUMBER(Y76)),NOT(ISNUMBER(Z76)),NOT(ISNUMBER(AA76)),NOT(ISNUMBER(AB76))),"",IF(AND(Y76&gt;=0.3,Y76&lt;=1.2,Z76&lt;=200,AA76&gt;=1E-4,AB76&lt;=1E-6),"PASS","FAIL"))</x:f>
        <x:v>PASS</x:v>
      </x:c>
      <x:c r="AJ76" s="85" t="str"/>
    </x:row>
    <x:row r="77">
      <x:c r="A77" s="85" t="str">
        <x:v>L0360-26</x:v>
      </x:c>
      <x:c r="B77" s="85" t="str">
        <x:v>LR071</x:v>
      </x:c>
      <x:c r="C77" s="93" t="n">
        <x:v>0.36</x:v>
      </x:c>
      <x:c r="D77" s="93" t="str">
        <x:v>Practical</x:v>
      </x:c>
      <x:c r="E77" s="93" t="n">
        <x:v>1</x:v>
      </x:c>
      <x:c r="F77" s="94" t="n">
        <x:v>325807</x:v>
      </x:c>
      <x:c r="G77" s="93" t="n">
        <x:v>0.8288336598587889</x:v>
      </x:c>
      <x:c r="H77" s="93" t="n">
        <x:v>84.2865910118779</x:v>
      </x:c>
      <x:c r="I77" s="95" t="n">
        <x:v>0.00023915813642283421</x:v>
      </x:c>
      <x:c r="J77" s="95" t="n">
        <x:v>5.177271082154951e-16</x:v>
      </x:c>
      <x:c r="K77" s="95" t="n">
        <x:v>461938601683.74396</x:v>
      </x:c>
      <x:c r="L77" s="95" t="n">
        <x:v>47851707041671.99</x:v>
      </x:c>
      <x:c r="M77" s="95" t="n">
        <x:v>49.50440315229163</x:v>
      </x:c>
      <x:c r="N77" s="95" t="n">
        <x:v>148434661589403.34</x:v>
      </x:c>
      <x:c r="O77" s="95" t="n">
        <x:v>18.845037884200433</x:v>
      </x:c>
      <x:c r="P77" s="93"/>
      <x:c r="Q77" s="95"/>
      <x:c r="R77" s="95"/>
      <x:c r="S77" s="97" t="n">
        <x:v>1</x:v>
      </x:c>
      <x:c r="T77" s="93" t="n">
        <x:v>0.8257433333333287</x:v>
      </x:c>
      <x:c r="U77" s="98" t="n">
        <x:v>84.40345790539986</x:v>
      </x:c>
      <x:c r="V77" s="95" t="n">
        <x:v>0.000241758870881173</x:v>
      </x:c>
      <x:c r="W77" s="95" t="n">
        <x:v>5.066417778779316e-16</x:v>
      </x:c>
      <x:c r="X77" s="95" t="n">
        <x:v>477179106495.6777</x:v>
      </x:c>
      <x:c r="Y77" s="99" t="n">
        <x:f>IFERROR(IF(ISBLANK(INDEX('Long_TCAD'!$H$2:$H$176,MATCH(B77,'Long_TCAD'!$A$2:$A$176,0))),"",INDEX('Long_TCAD'!$H$2:$H$176,MATCH(B77,'Long_TCAD'!$A$2:$A$176,0))),"")</x:f>
        <x:v>0.82</x:v>
      </x:c>
      <x:c r="Z77" s="100" t="n">
        <x:f>IFERROR(IF(ISBLANK(INDEX('Long_TCAD'!$I$2:$I$176,MATCH(B77,'Long_TCAD'!$A$2:$A$176,0))),"",INDEX('Long_TCAD'!$I$2:$I$176,MATCH(B77,'Long_TCAD'!$A$2:$A$176,0))),"")</x:f>
        <x:v>84.531</x:v>
      </x:c>
      <x:c r="AA77" s="96" t="n">
        <x:f>IFERROR(IF(ISBLANK(INDEX('Long_TCAD'!$J$2:$J$176,MATCH(B77,'Long_TCAD'!$A$2:$A$176,0))),"",INDEX('Long_TCAD'!$J$2:$J$176,MATCH(B77,'Long_TCAD'!$A$2:$A$176,0))),"")</x:f>
        <x:v>0.0002606</x:v>
      </x:c>
      <x:c r="AB77" s="96" t="n">
        <x:f>IFERROR(IF(ISBLANK(INDEX('Long_TCAD'!$K$2:$K$176,MATCH(B77,'Long_TCAD'!$A$2:$A$176,0))),"",INDEX('Long_TCAD'!$K$2:$K$176,MATCH(B77,'Long_TCAD'!$A$2:$A$176,0))),"")</x:f>
        <x:v>6.213e-16</x:v>
      </x:c>
      <x:c r="AC77" s="95" t="n">
        <x:f>IF(OR(NOT(ISNUMBER(AA77)),NOT(ISNUMBER(AB77))),"",AA77/AB77)</x:f>
        <x:v>419443103170.771</x:v>
      </x:c>
      <x:c r="AD77" s="93" t="n">
        <x:f>IF(NOT(ISNUMBER(Y77)),"",ABS(Y77-T77)*1000)</x:f>
        <x:v>5.743333333328771</x:v>
      </x:c>
      <x:c r="AE77" s="93" t="n">
        <x:f>IF(NOT(ISNUMBER(Z77)),"",ABS(Z77-U77))</x:f>
        <x:v>0.12754209460014465</x:v>
      </x:c>
      <x:c r="AF77" s="93" t="n">
        <x:f>IF(NOT(ISNUMBER(AA77)),"",ABS(LOG10(AA77)-LOG10(V77)))</x:f>
        <x:v>0.0325919927205498</x:v>
      </x:c>
      <x:c r="AG77" s="93" t="n">
        <x:f>IF(NOT(ISNUMBER(AB77)),"",ABS(LOG10(AB77)-LOG10(W77)))</x:f>
        <x:v>0.08860035459019855</x:v>
      </x:c>
      <x:c r="AH77" s="93" t="n">
        <x:f>IF(NOT(ISNUMBER(AC77)),"",ABS(LOG10(AC77)-LOG10(X77)))</x:f>
        <x:v>0.05600836186970071</x:v>
      </x:c>
      <x:c r="AI77" s="85" t="str">
        <x:f>IF(OR(NOT(ISNUMBER(Y77)),NOT(ISNUMBER(Z77)),NOT(ISNUMBER(AA77)),NOT(ISNUMBER(AB77))),"",IF(AND(Y77&gt;=0.3,Y77&lt;=1.2,Z77&lt;=200,AA77&gt;=1E-4,AB77&lt;=1E-6),"PASS","FAIL"))</x:f>
        <x:v>PASS</x:v>
      </x:c>
      <x:c r="AJ77" s="85" t="str"/>
    </x:row>
    <x:row r="78">
      <x:c r="A78" s="85" t="str">
        <x:v>L0360-27</x:v>
      </x:c>
      <x:c r="B78" s="85" t="str">
        <x:v>LR072</x:v>
      </x:c>
      <x:c r="C78" s="93" t="n">
        <x:v>0.36</x:v>
      </x:c>
      <x:c r="D78" s="93" t="str">
        <x:v>Practical</x:v>
      </x:c>
      <x:c r="E78" s="93" t="n">
        <x:v>1</x:v>
      </x:c>
      <x:c r="F78" s="94" t="n">
        <x:v>300753</x:v>
      </x:c>
      <x:c r="G78" s="93" t="n">
        <x:v>0.8403384885532903</x:v>
      </x:c>
      <x:c r="H78" s="93" t="n">
        <x:v>84.92300787130672</x:v>
      </x:c>
      <x:c r="I78" s="95" t="n">
        <x:v>0.00028006162904290166</x:v>
      </x:c>
      <x:c r="J78" s="95" t="n">
        <x:v>3.5956014419310864e-16</x:v>
      </x:c>
      <x:c r="K78" s="95" t="n">
        <x:v>778900647265.5356</x:v>
      </x:c>
      <x:c r="L78" s="95" t="n">
        <x:v>922177406750188.4</x:v>
      </x:c>
      <x:c r="M78" s="95" t="n">
        <x:v>10.788186452243231</x:v>
      </x:c>
      <x:c r="N78" s="95" t="n">
        <x:v>18041351672128640</x:v>
      </x:c>
      <x:c r="O78" s="95" t="n">
        <x:v>13.454496510097579</x:v>
      </x:c>
      <x:c r="P78" s="93"/>
      <x:c r="Q78" s="95"/>
      <x:c r="R78" s="95"/>
      <x:c r="S78" s="97" t="n">
        <x:v>1</x:v>
      </x:c>
      <x:c r="T78" s="93" t="n">
        <x:v>0.8562433333333324</x:v>
      </x:c>
      <x:c r="U78" s="98" t="n">
        <x:v>85.3864846452961</x:v>
      </x:c>
      <x:c r="V78" s="95" t="n">
        <x:v>0.0002651410006288776</x:v>
      </x:c>
      <x:c r="W78" s="95" t="n">
        <x:v>3.7099178177608977e-16</x:v>
      </x:c>
      <x:c r="X78" s="95" t="n">
        <x:v>714681601192.1852</x:v>
      </x:c>
      <x:c r="Y78" s="99" t="n">
        <x:f>IFERROR(IF(ISBLANK(INDEX('Long_TCAD'!$H$2:$H$176,MATCH(B78,'Long_TCAD'!$A$2:$A$176,0))),"",INDEX('Long_TCAD'!$H$2:$H$176,MATCH(B78,'Long_TCAD'!$A$2:$A$176,0))),"")</x:f>
        <x:v>0.855</x:v>
      </x:c>
      <x:c r="Z78" s="100" t="n">
        <x:f>IFERROR(IF(ISBLANK(INDEX('Long_TCAD'!$I$2:$I$176,MATCH(B78,'Long_TCAD'!$A$2:$A$176,0))),"",INDEX('Long_TCAD'!$I$2:$I$176,MATCH(B78,'Long_TCAD'!$A$2:$A$176,0))),"")</x:f>
        <x:v>85.36</x:v>
      </x:c>
      <x:c r="AA78" s="96" t="n">
        <x:f>IFERROR(IF(ISBLANK(INDEX('Long_TCAD'!$J$2:$J$176,MATCH(B78,'Long_TCAD'!$A$2:$A$176,0))),"",INDEX('Long_TCAD'!$J$2:$J$176,MATCH(B78,'Long_TCAD'!$A$2:$A$176,0))),"")</x:f>
        <x:v>0.0002657</x:v>
      </x:c>
      <x:c r="AB78" s="96" t="n">
        <x:f>IFERROR(IF(ISBLANK(INDEX('Long_TCAD'!$K$2:$K$176,MATCH(B78,'Long_TCAD'!$A$2:$A$176,0))),"",INDEX('Long_TCAD'!$K$2:$K$176,MATCH(B78,'Long_TCAD'!$A$2:$A$176,0))),"")</x:f>
        <x:v>3.973e-16</x:v>
      </x:c>
      <x:c r="AC78" s="95" t="n">
        <x:f>IF(OR(NOT(ISNUMBER(AA78)),NOT(ISNUMBER(AB78))),"",AA78/AB78)</x:f>
        <x:v>668764158066.9519</x:v>
      </x:c>
      <x:c r="AD78" s="93" t="n">
        <x:f>IF(NOT(ISNUMBER(Y78)),"",ABS(Y78-T78)*1000)</x:f>
        <x:v>1.2433333333323748</x:v>
      </x:c>
      <x:c r="AE78" s="93" t="n">
        <x:f>IF(NOT(ISNUMBER(Z78)),"",ABS(Z78-U78))</x:f>
        <x:v>0.026484645296093845</x:v>
      </x:c>
      <x:c r="AF78" s="93" t="n">
        <x:f>IF(NOT(ISNUMBER(AA78)),"",ABS(LOG10(AA78)-LOG10(V78)))</x:f>
        <x:v>0.0009146634555898814</x:v>
      </x:c>
      <x:c r="AG78" s="93" t="n">
        <x:f>IF(NOT(ISNUMBER(AB78)),"",ABS(LOG10(AB78)-LOG10(W78)))</x:f>
        <x:v>0.029754275841501254</x:v>
      </x:c>
      <x:c r="AH78" s="93" t="n">
        <x:f>IF(NOT(ISNUMBER(AC78)),"",ABS(LOG10(AC78)-LOG10(X78)))</x:f>
        <x:v>0.028839612385899827</x:v>
      </x:c>
      <x:c r="AI78" s="85" t="str">
        <x:f>IF(OR(NOT(ISNUMBER(Y78)),NOT(ISNUMBER(Z78)),NOT(ISNUMBER(AA78)),NOT(ISNUMBER(AB78))),"",IF(AND(Y78&gt;=0.3,Y78&lt;=1.2,Z78&lt;=200,AA78&gt;=1E-4,AB78&lt;=1E-6),"PASS","FAIL"))</x:f>
        <x:v>PASS</x:v>
      </x:c>
      <x:c r="AJ78" s="85" t="str"/>
    </x:row>
    <x:row r="79">
      <x:c r="A79" s="85" t="str">
        <x:v>L0360-28</x:v>
      </x:c>
      <x:c r="B79" s="85" t="str">
        <x:v>LR073</x:v>
      </x:c>
      <x:c r="C79" s="93" t="n">
        <x:v>0.36</x:v>
      </x:c>
      <x:c r="D79" s="93" t="str">
        <x:v>Practical</x:v>
      </x:c>
      <x:c r="E79" s="93" t="n">
        <x:v>1</x:v>
      </x:c>
      <x:c r="F79" s="94" t="n">
        <x:v>212501</x:v>
      </x:c>
      <x:c r="G79" s="93" t="n">
        <x:v>0.8190738308450359</x:v>
      </x:c>
      <x:c r="H79" s="93" t="n">
        <x:v>85.903</x:v>
      </x:c>
      <x:c r="I79" s="95" t="n">
        <x:v>0.00028934659881612495</x:v>
      </x:c>
      <x:c r="J79" s="95" t="n">
        <x:v>8.595929529272356e-16</x:v>
      </x:c>
      <x:c r="K79" s="95" t="n">
        <x:v>336608854028.86505</x:v>
      </x:c>
      <x:c r="L79" s="95" t="n">
        <x:v>779258396958406.8</x:v>
      </x:c>
      <x:c r="M79" s="95" t="n">
        <x:v>54.71173568629357</x:v>
      </x:c>
      <x:c r="N79" s="95" t="n">
        <x:v>111387247231053380</x:v>
      </x:c>
      <x:c r="O79" s="95" t="n">
        <x:v>10.839283602199423</x:v>
      </x:c>
      <x:c r="P79" s="93"/>
      <x:c r="Q79" s="95"/>
      <x:c r="R79" s="95"/>
      <x:c r="S79" s="97" t="n">
        <x:v>0.9966666666666667</x:v>
      </x:c>
      <x:c r="T79" s="93" t="n">
        <x:v>0.8225033333333364</x:v>
      </x:c>
      <x:c r="U79" s="98" t="n">
        <x:v>84.16621551001691</x:v>
      </x:c>
      <x:c r="V79" s="95" t="n">
        <x:v>0.00028928599037530755</x:v>
      </x:c>
      <x:c r="W79" s="95" t="n">
        <x:v>8.524830956663947e-16</x:v>
      </x:c>
      <x:c r="X79" s="95" t="n">
        <x:v>339345134051.2151</x:v>
      </x:c>
      <x:c r="Y79" s="99" t="n">
        <x:f>IFERROR(IF(ISBLANK(INDEX('Long_TCAD'!$H$2:$H$176,MATCH(B79,'Long_TCAD'!$A$2:$A$176,0))),"",INDEX('Long_TCAD'!$H$2:$H$176,MATCH(B79,'Long_TCAD'!$A$2:$A$176,0))),"")</x:f>
        <x:v>0.812</x:v>
      </x:c>
      <x:c r="Z79" s="100" t="n">
        <x:f>IFERROR(IF(ISBLANK(INDEX('Long_TCAD'!$I$2:$I$176,MATCH(B79,'Long_TCAD'!$A$2:$A$176,0))),"",INDEX('Long_TCAD'!$I$2:$I$176,MATCH(B79,'Long_TCAD'!$A$2:$A$176,0))),"")</x:f>
        <x:v>83.79</x:v>
      </x:c>
      <x:c r="AA79" s="96" t="n">
        <x:f>IFERROR(IF(ISBLANK(INDEX('Long_TCAD'!$J$2:$J$176,MATCH(B79,'Long_TCAD'!$A$2:$A$176,0))),"",INDEX('Long_TCAD'!$J$2:$J$176,MATCH(B79,'Long_TCAD'!$A$2:$A$176,0))),"")</x:f>
        <x:v>0.0002917</x:v>
      </x:c>
      <x:c r="AB79" s="96" t="n">
        <x:f>IFERROR(IF(ISBLANK(INDEX('Long_TCAD'!$K$2:$K$176,MATCH(B79,'Long_TCAD'!$A$2:$A$176,0))),"",INDEX('Long_TCAD'!$K$2:$K$176,MATCH(B79,'Long_TCAD'!$A$2:$A$176,0))),"")</x:f>
        <x:v>1.137e-15</x:v>
      </x:c>
      <x:c r="AC79" s="95" t="n">
        <x:f>IF(OR(NOT(ISNUMBER(AA79)),NOT(ISNUMBER(AB79))),"",AA79/AB79)</x:f>
        <x:v>256552330694.8109</x:v>
      </x:c>
      <x:c r="AD79" s="93" t="n">
        <x:f>IF(NOT(ISNUMBER(Y79)),"",ABS(Y79-T79)*1000)</x:f>
        <x:v>10.503333333336307</x:v>
      </x:c>
      <x:c r="AE79" s="93" t="n">
        <x:f>IF(NOT(ISNUMBER(Z79)),"",ABS(Z79-U79))</x:f>
        <x:v>0.37621551001690534</x:v>
      </x:c>
      <x:c r="AF79" s="93" t="n">
        <x:f>IF(NOT(ISNUMBER(AA79)),"",ABS(LOG10(AA79)-LOG10(V79)))</x:f>
        <x:v>0.003609027101890039</x:v>
      </x:c>
      <x:c r="AG79" s="93" t="n">
        <x:f>IF(NOT(ISNUMBER(AB79)),"",ABS(LOG10(AB79)-LOG10(W79)))</x:f>
        <x:v>0.12507468879039862</x:v>
      </x:c>
      <x:c r="AH79" s="93" t="n">
        <x:f>IF(NOT(ISNUMBER(AC79)),"",ABS(LOG10(AC79)-LOG10(X79)))</x:f>
        <x:v>0.12146566168859962</x:v>
      </x:c>
      <x:c r="AI79" s="85" t="str">
        <x:f>IF(OR(NOT(ISNUMBER(Y79)),NOT(ISNUMBER(Z79)),NOT(ISNUMBER(AA79)),NOT(ISNUMBER(AB79))),"",IF(AND(Y79&gt;=0.3,Y79&lt;=1.2,Z79&lt;=200,AA79&gt;=1E-4,AB79&lt;=1E-6),"PASS","FAIL"))</x:f>
        <x:v>PASS</x:v>
      </x:c>
      <x:c r="AJ79" s="85" t="str"/>
    </x:row>
    <x:row r="80">
      <x:c r="A80" s="85" t="str">
        <x:v>L0360-29</x:v>
      </x:c>
      <x:c r="B80" s="85" t="str">
        <x:v>LR074</x:v>
      </x:c>
      <x:c r="C80" s="93" t="n">
        <x:v>0.36</x:v>
      </x:c>
      <x:c r="D80" s="93" t="str">
        <x:v>Practical</x:v>
      </x:c>
      <x:c r="E80" s="93" t="n">
        <x:v>1</x:v>
      </x:c>
      <x:c r="F80" s="94" t="n">
        <x:v>305068</x:v>
      </x:c>
      <x:c r="G80" s="93" t="n">
        <x:v>0.8487034269402166</x:v>
      </x:c>
      <x:c r="H80" s="93" t="n">
        <x:v>83.414</x:v>
      </x:c>
      <x:c r="I80" s="95" t="n">
        <x:v>0.00022642386749622713</x:v>
      </x:c>
      <x:c r="J80" s="95" t="n">
        <x:v>3.615150495809849e-16</x:v>
      </x:c>
      <x:c r="K80" s="95" t="n">
        <x:v>626319340671.0575</x:v>
      </x:c>
      <x:c r="L80" s="95" t="n">
        <x:v>53724453640974.04</x:v>
      </x:c>
      <x:c r="M80" s="95" t="n">
        <x:v>19.670874168445962</x:v>
      </x:c>
      <x:c r="N80" s="95" t="n">
        <x:v>422752444383546.2</x:v>
      </x:c>
      <x:c r="O80" s="95" t="n">
        <x:v>14.226885517233777</x:v>
      </x:c>
      <x:c r="P80" s="93"/>
      <x:c r="Q80" s="95"/>
      <x:c r="R80" s="95"/>
      <x:c r="S80" s="97" t="n">
        <x:v>1</x:v>
      </x:c>
      <x:c r="T80" s="93" t="n">
        <x:v>0.8394800000000024</x:v>
      </x:c>
      <x:c r="U80" s="98" t="n">
        <x:v>85.39952609311811</x:v>
      </x:c>
      <x:c r="V80" s="95" t="n">
        <x:v>0.00023582268138514108</x:v>
      </x:c>
      <x:c r="W80" s="95" t="n">
        <x:v>3.5817522663634656e-16</x:v>
      </x:c>
      <x:c r="X80" s="95" t="n">
        <x:v>658400313164.5133</x:v>
      </x:c>
      <x:c r="Y80" s="99" t="n">
        <x:f>IFERROR(IF(ISBLANK(INDEX('Long_TCAD'!$H$2:$H$176,MATCH(B80,'Long_TCAD'!$A$2:$A$176,0))),"",INDEX('Long_TCAD'!$H$2:$H$176,MATCH(B80,'Long_TCAD'!$A$2:$A$176,0))),"")</x:f>
        <x:v>0.844</x:v>
      </x:c>
      <x:c r="Z80" s="100" t="n">
        <x:f>IFERROR(IF(ISBLANK(INDEX('Long_TCAD'!$I$2:$I$176,MATCH(B80,'Long_TCAD'!$A$2:$A$176,0))),"",INDEX('Long_TCAD'!$I$2:$I$176,MATCH(B80,'Long_TCAD'!$A$2:$A$176,0))),"")</x:f>
        <x:v>85.306</x:v>
      </x:c>
      <x:c r="AA80" s="96" t="n">
        <x:f>IFERROR(IF(ISBLANK(INDEX('Long_TCAD'!$J$2:$J$176,MATCH(B80,'Long_TCAD'!$A$2:$A$176,0))),"",INDEX('Long_TCAD'!$J$2:$J$176,MATCH(B80,'Long_TCAD'!$A$2:$A$176,0))),"")</x:f>
        <x:v>0.0002541</x:v>
      </x:c>
      <x:c r="AB80" s="96" t="n">
        <x:f>IFERROR(IF(ISBLANK(INDEX('Long_TCAD'!$K$2:$K$176,MATCH(B80,'Long_TCAD'!$A$2:$A$176,0))),"",INDEX('Long_TCAD'!$K$2:$K$176,MATCH(B80,'Long_TCAD'!$A$2:$A$176,0))),"")</x:f>
        <x:v>3.767e-16</x:v>
      </x:c>
      <x:c r="AC80" s="95" t="n">
        <x:f>IF(OR(NOT(ISNUMBER(AA80)),NOT(ISNUMBER(AB80))),"",AA80/AB80)</x:f>
        <x:v>674542075922.4847</x:v>
      </x:c>
      <x:c r="AD80" s="93" t="n">
        <x:f>IF(NOT(ISNUMBER(Y80)),"",ABS(Y80-T80)*1000)</x:f>
        <x:v>4.519999999997526</x:v>
      </x:c>
      <x:c r="AE80" s="93" t="n">
        <x:f>IF(NOT(ISNUMBER(Z80)),"",ABS(Z80-U80))</x:f>
        <x:v>0.09352609311811477</x:v>
      </x:c>
      <x:c r="AF80" s="93" t="n">
        <x:f>IF(NOT(ISNUMBER(AA80)),"",ABS(LOG10(AA80)-LOG10(V80)))</x:f>
        <x:v>0.032419091913479914</x:v>
      </x:c>
      <x:c r="AG80" s="93" t="n">
        <x:f>IF(NOT(ISNUMBER(AB80)),"",ABS(LOG10(AB80)-LOG10(W80)))</x:f>
        <x:v>0.0219000758404988</x:v>
      </x:c>
      <x:c r="AH80" s="93" t="n">
        <x:f>IF(NOT(ISNUMBER(AC80)),"",ABS(LOG10(AC80)-LOG10(X80)))</x:f>
        <x:v>0.010519016072999321</x:v>
      </x:c>
      <x:c r="AI80" s="85" t="str">
        <x:f>IF(OR(NOT(ISNUMBER(Y80)),NOT(ISNUMBER(Z80)),NOT(ISNUMBER(AA80)),NOT(ISNUMBER(AB80))),"",IF(AND(Y80&gt;=0.3,Y80&lt;=1.2,Z80&lt;=200,AA80&gt;=1E-4,AB80&lt;=1E-6),"PASS","FAIL"))</x:f>
        <x:v>PASS</x:v>
      </x:c>
      <x:c r="AJ80" s="85" t="str"/>
    </x:row>
    <x:row r="81">
      <x:c r="A81" s="85" t="str">
        <x:v>L0360-30</x:v>
      </x:c>
      <x:c r="B81" s="85" t="str">
        <x:v>LR067</x:v>
      </x:c>
      <x:c r="C81" s="93" t="n">
        <x:v>0.36</x:v>
      </x:c>
      <x:c r="D81" s="93" t="str">
        <x:v>Practical</x:v>
      </x:c>
      <x:c r="E81" s="93" t="n">
        <x:v>1</x:v>
      </x:c>
      <x:c r="F81" s="94" t="n">
        <x:v>318415</x:v>
      </x:c>
      <x:c r="G81" s="93" t="n">
        <x:v>0.823384205435576</x:v>
      </x:c>
      <x:c r="H81" s="93" t="n">
        <x:v>85.903</x:v>
      </x:c>
      <x:c r="I81" s="95" t="n">
        <x:v>0.000326</x:v>
      </x:c>
      <x:c r="J81" s="95" t="n">
        <x:v>5.497646648844268e-16</x:v>
      </x:c>
      <x:c r="K81" s="95" t="n">
        <x:v>592980998639.7229</x:v>
      </x:c>
      <x:c r="L81" s="95" t="n">
        <x:v>557177010922207.6</x:v>
      </x:c>
      <x:c r="M81" s="95" t="n">
        <x:v>37.14267330531688</x:v>
      </x:c>
      <x:c r="N81" s="95" t="n">
        <x:v>44828426618598030</x:v>
      </x:c>
      <x:c r="O81" s="95" t="n">
        <x:v>27.919377431388096</x:v>
      </x:c>
      <x:c r="P81" s="93"/>
      <x:c r="Q81" s="95"/>
      <x:c r="R81" s="95"/>
      <x:c r="S81" s="97" t="n">
        <x:v>0.9866666666666667</x:v>
      </x:c>
      <x:c r="T81" s="93" t="n">
        <x:v>0.8280299999999994</x:v>
      </x:c>
      <x:c r="U81" s="98" t="n">
        <x:v>84.406381725597</x:v>
      </x:c>
      <x:c r="V81" s="95" t="n">
        <x:v>0.0002837258190968579</x:v>
      </x:c>
      <x:c r="W81" s="95" t="n">
        <x:v>5.810124985799858e-16</x:v>
      </x:c>
      <x:c r="X81" s="95" t="n">
        <x:v>488329975328.0582</x:v>
      </x:c>
      <x:c r="Y81" s="99" t="n">
        <x:f>IFERROR(IF(ISBLANK(INDEX('Long_TCAD'!$H$2:$H$176,MATCH(B81,'Long_TCAD'!$A$2:$A$176,0))),"",INDEX('Long_TCAD'!$H$2:$H$176,MATCH(B81,'Long_TCAD'!$A$2:$A$176,0))),"")</x:f>
        <x:v>0.801</x:v>
      </x:c>
      <x:c r="Z81" s="100" t="n">
        <x:f>IFERROR(IF(ISBLANK(INDEX('Long_TCAD'!$I$2:$I$176,MATCH(B81,'Long_TCAD'!$A$2:$A$176,0))),"",INDEX('Long_TCAD'!$I$2:$I$176,MATCH(B81,'Long_TCAD'!$A$2:$A$176,0))),"")</x:f>
        <x:v>83.467</x:v>
      </x:c>
      <x:c r="AA81" s="96" t="n">
        <x:f>IFERROR(IF(ISBLANK(INDEX('Long_TCAD'!$J$2:$J$176,MATCH(B81,'Long_TCAD'!$A$2:$A$176,0))),"",INDEX('Long_TCAD'!$J$2:$J$176,MATCH(B81,'Long_TCAD'!$A$2:$A$176,0))),"")</x:f>
        <x:v>0.0002998</x:v>
      </x:c>
      <x:c r="AB81" s="96" t="n">
        <x:f>IFERROR(IF(ISBLANK(INDEX('Long_TCAD'!$K$2:$K$176,MATCH(B81,'Long_TCAD'!$A$2:$A$176,0))),"",INDEX('Long_TCAD'!$K$2:$K$176,MATCH(B81,'Long_TCAD'!$A$2:$A$176,0))),"")</x:f>
        <x:v>1.479e-15</x:v>
      </x:c>
      <x:c r="AC81" s="95" t="n">
        <x:f>IF(OR(NOT(ISNUMBER(AA81)),NOT(ISNUMBER(AB81))),"",AA81/AB81)</x:f>
        <x:v>202704530087.89725</x:v>
      </x:c>
      <x:c r="AD81" s="93" t="n">
        <x:f>IF(NOT(ISNUMBER(Y81)),"",ABS(Y81-T81)*1000)</x:f>
        <x:v>27.029999999999333</x:v>
      </x:c>
      <x:c r="AE81" s="93" t="n">
        <x:f>IF(NOT(ISNUMBER(Z81)),"",ABS(Z81-U81))</x:f>
        <x:v>0.9393817255970021</x:v>
      </x:c>
      <x:c r="AF81" s="93" t="n">
        <x:f>IF(NOT(ISNUMBER(AA81)),"",ABS(LOG10(AA81)-LOG10(V81)))</x:f>
        <x:v>0.023932770047809804</x:v>
      </x:c>
      <x:c r="AG81" s="93" t="n">
        <x:f>IF(NOT(ISNUMBER(AB81)),"",ABS(LOG10(AB81)-LOG10(W81)))</x:f>
        <x:v>0.4057826990833995</x:v>
      </x:c>
      <x:c r="AH81" s="93" t="n">
        <x:f>IF(NOT(ISNUMBER(AC81)),"",ABS(LOG10(AC81)-LOG10(X81)))</x:f>
        <x:v>0.3818499290356012</x:v>
      </x:c>
      <x:c r="AI81" s="85" t="str">
        <x:f>IF(OR(NOT(ISNUMBER(Y81)),NOT(ISNUMBER(Z81)),NOT(ISNUMBER(AA81)),NOT(ISNUMBER(AB81))),"",IF(AND(Y81&gt;=0.3,Y81&lt;=1.2,Z81&lt;=200,AA81&gt;=1E-4,AB81&lt;=1E-6),"PASS","FAIL"))</x:f>
        <x:v>PASS</x:v>
      </x:c>
      <x:c r="AJ81" s="85" t="str"/>
    </x:row>
    <x:row r="82">
      <x:c r="A82" s="85" t="str">
        <x:v>L0360-31</x:v>
      </x:c>
      <x:c r="B82" s="85" t="str">
        <x:v>LR075</x:v>
      </x:c>
      <x:c r="C82" s="93" t="n">
        <x:v>0.36</x:v>
      </x:c>
      <x:c r="D82" s="93" t="str">
        <x:v>Practical</x:v>
      </x:c>
      <x:c r="E82" s="93" t="n">
        <x:v>1</x:v>
      </x:c>
      <x:c r="F82" s="94" t="n">
        <x:v>254881</x:v>
      </x:c>
      <x:c r="G82" s="93" t="n">
        <x:v>0.8201380176292442</x:v>
      </x:c>
      <x:c r="H82" s="93" t="n">
        <x:v>85.903</x:v>
      </x:c>
      <x:c r="I82" s="95" t="n">
        <x:v>0.000298468474706022</x:v>
      </x:c>
      <x:c r="J82" s="95" t="n">
        <x:v>7.230339357899335e-16</x:v>
      </x:c>
      <x:c r="K82" s="95" t="n">
        <x:v>412800091298.5328</x:v>
      </x:c>
      <x:c r="L82" s="95" t="n">
        <x:v>779455392929643.5</x:v>
      </x:c>
      <x:c r="M82" s="95" t="n">
        <x:v>35.62495826774229</x:v>
      </x:c>
      <x:c r="N82" s="95" t="n">
        <x:v>197653216565666800</x:v>
      </x:c>
      <x:c r="O82" s="95" t="n">
        <x:v>14.489208933587703</x:v>
      </x:c>
      <x:c r="P82" s="93"/>
      <x:c r="Q82" s="95"/>
      <x:c r="R82" s="95"/>
      <x:c r="S82" s="97" t="n">
        <x:v>0.9</x:v>
      </x:c>
      <x:c r="T82" s="93" t="n">
        <x:v>0.82485</x:v>
      </x:c>
      <x:c r="U82" s="98" t="n">
        <x:v>84.14707090846247</x:v>
      </x:c>
      <x:c r="V82" s="95" t="n">
        <x:v>0.0002873602482378174</x:v>
      </x:c>
      <x:c r="W82" s="95" t="n">
        <x:v>7.236727716164886e-16</x:v>
      </x:c>
      <x:c r="X82" s="95" t="n">
        <x:v>397085892282.40906</x:v>
      </x:c>
      <x:c r="Y82" s="99" t="n">
        <x:f>IFERROR(IF(ISBLANK(INDEX('Long_TCAD'!$H$2:$H$176,MATCH(B82,'Long_TCAD'!$A$2:$A$176,0))),"",INDEX('Long_TCAD'!$H$2:$H$176,MATCH(B82,'Long_TCAD'!$A$2:$A$176,0))),"")</x:f>
        <x:v>0.82</x:v>
      </x:c>
      <x:c r="Z82" s="100" t="n">
        <x:f>IFERROR(IF(ISBLANK(INDEX('Long_TCAD'!$I$2:$I$176,MATCH(B82,'Long_TCAD'!$A$2:$A$176,0))),"",INDEX('Long_TCAD'!$I$2:$I$176,MATCH(B82,'Long_TCAD'!$A$2:$A$176,0))),"")</x:f>
        <x:v>83.902</x:v>
      </x:c>
      <x:c r="AA82" s="96" t="n">
        <x:f>IFERROR(IF(ISBLANK(INDEX('Long_TCAD'!$J$2:$J$176,MATCH(B82,'Long_TCAD'!$A$2:$A$176,0))),"",INDEX('Long_TCAD'!$J$2:$J$176,MATCH(B82,'Long_TCAD'!$A$2:$A$176,0))),"")</x:f>
        <x:v>0.0002896</x:v>
      </x:c>
      <x:c r="AB82" s="96" t="n">
        <x:f>IFERROR(IF(ISBLANK(INDEX('Long_TCAD'!$K$2:$K$176,MATCH(B82,'Long_TCAD'!$A$2:$A$176,0))),"",INDEX('Long_TCAD'!$K$2:$K$176,MATCH(B82,'Long_TCAD'!$A$2:$A$176,0))),"")</x:f>
        <x:v>8.194e-16</x:v>
      </x:c>
      <x:c r="AC82" s="95" t="n">
        <x:f>IF(OR(NOT(ISNUMBER(AA82)),NOT(ISNUMBER(AB82))),"",AA82/AB82)</x:f>
        <x:v>353429338540.39545</x:v>
      </x:c>
      <x:c r="AD82" s="93" t="n">
        <x:f>IF(NOT(ISNUMBER(Y82)),"",ABS(Y82-T82)*1000)</x:f>
        <x:v>4.850000000000021</x:v>
      </x:c>
      <x:c r="AE82" s="93" t="n">
        <x:f>IF(NOT(ISNUMBER(Z82)),"",ABS(Z82-U82))</x:f>
        <x:v>0.24507090846246626</x:v>
      </x:c>
      <x:c r="AF82" s="93" t="n">
        <x:f>IF(NOT(ISNUMBER(AA82)),"",ABS(LOG10(AA82)-LOG10(V82)))</x:f>
        <x:v>0.003371867369930115</x:v>
      </x:c>
      <x:c r="AG82" s="93" t="n">
        <x:f>IF(NOT(ISNUMBER(AB82)),"",ABS(LOG10(AB82)-LOG10(W82)))</x:f>
        <x:v>0.05395372713079993</x:v>
      </x:c>
      <x:c r="AH82" s="93" t="n">
        <x:f>IF(NOT(ISNUMBER(AC82)),"",ABS(LOG10(AC82)-LOG10(X82)))</x:f>
        <x:v>0.050581859760900016</x:v>
      </x:c>
      <x:c r="AI82" s="85" t="str">
        <x:f>IF(OR(NOT(ISNUMBER(Y82)),NOT(ISNUMBER(Z82)),NOT(ISNUMBER(AA82)),NOT(ISNUMBER(AB82))),"",IF(AND(Y82&gt;=0.3,Y82&lt;=1.2,Z82&lt;=200,AA82&gt;=1E-4,AB82&lt;=1E-6),"PASS","FAIL"))</x:f>
        <x:v>PASS</x:v>
      </x:c>
      <x:c r="AJ82" s="85" t="str"/>
    </x:row>
    <x:row r="83">
      <x:c r="A83" s="85" t="str">
        <x:v>L0360-32</x:v>
      </x:c>
      <x:c r="B83" s="85" t="str">
        <x:v>LR076</x:v>
      </x:c>
      <x:c r="C83" s="93" t="n">
        <x:v>0.36</x:v>
      </x:c>
      <x:c r="D83" s="93" t="str">
        <x:v>Practical</x:v>
      </x:c>
      <x:c r="E83" s="93" t="n">
        <x:v>1</x:v>
      </x:c>
      <x:c r="F83" s="94" t="n">
        <x:v>323915</x:v>
      </x:c>
      <x:c r="G83" s="93" t="n">
        <x:v>0.8423306663009504</x:v>
      </x:c>
      <x:c r="H83" s="93" t="n">
        <x:v>85.903</x:v>
      </x:c>
      <x:c r="I83" s="95" t="n">
        <x:v>0.0003226401798438342</x:v>
      </x:c>
      <x:c r="J83" s="95" t="n">
        <x:v>5.054699642572124e-16</x:v>
      </x:c>
      <x:c r="K83" s="95" t="n">
        <x:v>638297431417.0251</x:v>
      </x:c>
      <x:c r="L83" s="95" t="n">
        <x:v>577347172281974.8</x:v>
      </x:c>
      <x:c r="M83" s="95" t="n">
        <x:v>18.622405556837897</x:v>
      </x:c>
      <x:c r="N83" s="95" t="n">
        <x:v>9268116415467538</x:v>
      </x:c>
      <x:c r="O83" s="95" t="n">
        <x:v>30.819106488095056</x:v>
      </x:c>
      <x:c r="P83" s="93"/>
      <x:c r="Q83" s="95"/>
      <x:c r="R83" s="95"/>
      <x:c r="S83" s="97" t="n">
        <x:v>1</x:v>
      </x:c>
      <x:c r="T83" s="93" t="n">
        <x:v>0.8335666666666631</x:v>
      </x:c>
      <x:c r="U83" s="98" t="n">
        <x:v>84.57741441438873</x:v>
      </x:c>
      <x:c r="V83" s="95" t="n">
        <x:v>0.0002797960927365052</x:v>
      </x:c>
      <x:c r="W83" s="95" t="n">
        <x:v>5.258887166389322e-16</x:v>
      </x:c>
      <x:c r="X83" s="95" t="n">
        <x:v>532044297365.3098</x:v>
      </x:c>
      <x:c r="Y83" s="99" t="n">
        <x:f>IFERROR(IF(ISBLANK(INDEX('Long_TCAD'!$H$2:$H$176,MATCH(B83,'Long_TCAD'!$A$2:$A$176,0))),"",INDEX('Long_TCAD'!$H$2:$H$176,MATCH(B83,'Long_TCAD'!$A$2:$A$176,0))),"")</x:f>
        <x:v>0.826</x:v>
      </x:c>
      <x:c r="Z83" s="100" t="n">
        <x:f>IFERROR(IF(ISBLANK(INDEX('Long_TCAD'!$I$2:$I$176,MATCH(B83,'Long_TCAD'!$A$2:$A$176,0))),"",INDEX('Long_TCAD'!$I$2:$I$176,MATCH(B83,'Long_TCAD'!$A$2:$A$176,0))),"")</x:f>
        <x:v>84.354</x:v>
      </x:c>
      <x:c r="AA83" s="96" t="n">
        <x:f>IFERROR(IF(ISBLANK(INDEX('Long_TCAD'!$J$2:$J$176,MATCH(B83,'Long_TCAD'!$A$2:$A$176,0))),"",INDEX('Long_TCAD'!$J$2:$J$176,MATCH(B83,'Long_TCAD'!$A$2:$A$176,0))),"")</x:f>
        <x:v>0.0002838</x:v>
      </x:c>
      <x:c r="AB83" s="96" t="n">
        <x:f>IFERROR(IF(ISBLANK(INDEX('Long_TCAD'!$K$2:$K$176,MATCH(B83,'Long_TCAD'!$A$2:$A$176,0))),"",INDEX('Long_TCAD'!$K$2:$K$176,MATCH(B83,'Long_TCAD'!$A$2:$A$176,0))),"")</x:f>
        <x:v>6.905e-16</x:v>
      </x:c>
      <x:c r="AC83" s="95" t="n">
        <x:f>IF(OR(NOT(ISNUMBER(AA83)),NOT(ISNUMBER(AB83))),"",AA83/AB83)</x:f>
        <x:v>411006517016.6546</x:v>
      </x:c>
      <x:c r="AD83" s="93" t="n">
        <x:f>IF(NOT(ISNUMBER(Y83)),"",ABS(Y83-T83)*1000)</x:f>
        <x:v>7.566666666663169</x:v>
      </x:c>
      <x:c r="AE83" s="93" t="n">
        <x:f>IF(NOT(ISNUMBER(Z83)),"",ABS(Z83-U83))</x:f>
        <x:v>0.22341441438872778</x:v>
      </x:c>
      <x:c r="AF83" s="93" t="n">
        <x:f>IF(NOT(ISNUMBER(AA83)),"",ABS(LOG10(AA83)-LOG10(V83)))</x:f>
        <x:v>0.006170745707689829</x:v>
      </x:c>
      <x:c r="AG83" s="93" t="n">
        <x:f>IF(NOT(ISNUMBER(AB83)),"",ABS(LOG10(AB83)-LOG10(W83)))</x:f>
        <x:v>0.11826983013509995</x:v>
      </x:c>
      <x:c r="AH83" s="93" t="n">
        <x:f>IF(NOT(ISNUMBER(AC83)),"",ABS(LOG10(AC83)-LOG10(X83)))</x:f>
        <x:v>0.11209908442739902</x:v>
      </x:c>
      <x:c r="AI83" s="85" t="str">
        <x:f>IF(OR(NOT(ISNUMBER(Y83)),NOT(ISNUMBER(Z83)),NOT(ISNUMBER(AA83)),NOT(ISNUMBER(AB83))),"",IF(AND(Y83&gt;=0.3,Y83&lt;=1.2,Z83&lt;=200,AA83&gt;=1E-4,AB83&lt;=1E-6),"PASS","FAIL"))</x:f>
        <x:v>PASS</x:v>
      </x:c>
      <x:c r="AJ83" s="85" t="str"/>
    </x:row>
    <x:row r="84">
      <x:c r="A84" s="85" t="str">
        <x:v>L0360-33</x:v>
      </x:c>
      <x:c r="B84" s="85" t="str">
        <x:v>LR077</x:v>
      </x:c>
      <x:c r="C84" s="93" t="n">
        <x:v>0.36</x:v>
      </x:c>
      <x:c r="D84" s="93" t="str">
        <x:v>Practical</x:v>
      </x:c>
      <x:c r="E84" s="93" t="n">
        <x:v>1</x:v>
      </x:c>
      <x:c r="F84" s="94" t="n">
        <x:v>265128</x:v>
      </x:c>
      <x:c r="G84" s="93" t="n">
        <x:v>0.8367523409852179</x:v>
      </x:c>
      <x:c r="H84" s="93" t="n">
        <x:v>83.414</x:v>
      </x:c>
      <x:c r="I84" s="95" t="n">
        <x:v>0.00021303695187115725</x:v>
      </x:c>
      <x:c r="J84" s="95" t="n">
        <x:v>3.0963394118847565e-16</x:v>
      </x:c>
      <x:c r="K84" s="95" t="n">
        <x:v>688028421733.9102</x:v>
      </x:c>
      <x:c r="L84" s="95" t="n">
        <x:v>578453997844.2933</x:v>
      </x:c>
      <x:c r="M84" s="95" t="n">
        <x:v>68.55804002275566</x:v>
      </x:c>
      <x:c r="N84" s="95" t="n">
        <x:v>5262359786574061</x:v>
      </x:c>
      <x:c r="O84" s="95" t="n">
        <x:v>15.58254629098757</x:v>
      </x:c>
      <x:c r="P84" s="93"/>
      <x:c r="Q84" s="95"/>
      <x:c r="R84" s="95"/>
      <x:c r="S84" s="97" t="n">
        <x:v>1</x:v>
      </x:c>
      <x:c r="T84" s="93" t="n">
        <x:v>0.8479433333333378</x:v>
      </x:c>
      <x:c r="U84" s="98" t="n">
        <x:v>85.1349599641796</x:v>
      </x:c>
      <x:c r="V84" s="95" t="n">
        <x:v>0.0002258406047446793</x:v>
      </x:c>
      <x:c r="W84" s="95" t="n">
        <x:v>3.094434164372116e-16</x:v>
      </x:c>
      <x:c r="X84" s="95" t="n">
        <x:v>729828436309.6283</x:v>
      </x:c>
      <x:c r="Y84" s="99" t="n">
        <x:f>IFERROR(IF(ISBLANK(INDEX('Long_TCAD'!$H$2:$H$176,MATCH(B84,'Long_TCAD'!$A$2:$A$176,0))),"",INDEX('Long_TCAD'!$H$2:$H$176,MATCH(B84,'Long_TCAD'!$A$2:$A$176,0))),"")</x:f>
        <x:v>0.852</x:v>
      </x:c>
      <x:c r="Z84" s="100" t="n">
        <x:f>IFERROR(IF(ISBLANK(INDEX('Long_TCAD'!$I$2:$I$176,MATCH(B84,'Long_TCAD'!$A$2:$A$176,0))),"",INDEX('Long_TCAD'!$I$2:$I$176,MATCH(B84,'Long_TCAD'!$A$2:$A$176,0))),"")</x:f>
        <x:v>85.2</x:v>
      </x:c>
      <x:c r="AA84" s="96" t="n">
        <x:f>IFERROR(IF(ISBLANK(INDEX('Long_TCAD'!$J$2:$J$176,MATCH(B84,'Long_TCAD'!$A$2:$A$176,0))),"",INDEX('Long_TCAD'!$J$2:$J$176,MATCH(B84,'Long_TCAD'!$A$2:$A$176,0))),"")</x:f>
        <x:v>0.0002444</x:v>
      </x:c>
      <x:c r="AB84" s="96" t="n">
        <x:f>IFERROR(IF(ISBLANK(INDEX('Long_TCAD'!$K$2:$K$176,MATCH(B84,'Long_TCAD'!$A$2:$A$176,0))),"",INDEX('Long_TCAD'!$K$2:$K$176,MATCH(B84,'Long_TCAD'!$A$2:$A$176,0))),"")</x:f>
        <x:v>3.196e-16</x:v>
      </x:c>
      <x:c r="AC84" s="95" t="n">
        <x:f>IF(OR(NOT(ISNUMBER(AA84)),NOT(ISNUMBER(AB84))),"",AA84/AB84)</x:f>
        <x:v>764705882352.941</x:v>
      </x:c>
      <x:c r="AD84" s="93" t="n">
        <x:f>IF(NOT(ISNUMBER(Y84)),"",ABS(Y84-T84)*1000)</x:f>
        <x:v>4.0566666666621565</x:v>
      </x:c>
      <x:c r="AE84" s="93" t="n">
        <x:f>IF(NOT(ISNUMBER(Z84)),"",ABS(Z84-U84))</x:f>
        <x:v>0.06504003582040241</x:v>
      </x:c>
      <x:c r="AF84" s="93" t="n">
        <x:f>IF(NOT(ISNUMBER(AA84)),"",ABS(LOG10(AA84)-LOG10(V84)))</x:f>
        <x:v>0.034299173498050006</x:v>
      </x:c>
      <x:c r="AG84" s="93" t="n">
        <x:f>IF(NOT(ISNUMBER(AB84)),"",ABS(LOG10(AB84)-LOG10(W84)))</x:f>
        <x:v>0.014025523346301583</x:v>
      </x:c>
      <x:c r="AH84" s="93" t="n">
        <x:f>IF(NOT(ISNUMBER(AC84)),"",ABS(LOG10(AC84)-LOG10(X84)))</x:f>
        <x:v>0.020273650151899858</x:v>
      </x:c>
      <x:c r="AI84" s="85" t="str">
        <x:f>IF(OR(NOT(ISNUMBER(Y84)),NOT(ISNUMBER(Z84)),NOT(ISNUMBER(AA84)),NOT(ISNUMBER(AB84))),"",IF(AND(Y84&gt;=0.3,Y84&lt;=1.2,Z84&lt;=200,AA84&gt;=1E-4,AB84&lt;=1E-6),"PASS","FAIL"))</x:f>
        <x:v>PASS</x:v>
      </x:c>
      <x:c r="AJ84" s="85" t="str"/>
    </x:row>
    <x:row r="85">
      <x:c r="A85" s="85" t="str">
        <x:v>L0360-34</x:v>
      </x:c>
      <x:c r="B85" s="85" t="str">
        <x:v>LR078</x:v>
      </x:c>
      <x:c r="C85" s="93" t="n">
        <x:v>0.36</x:v>
      </x:c>
      <x:c r="D85" s="93" t="str">
        <x:v>Practical</x:v>
      </x:c>
      <x:c r="E85" s="93" t="n">
        <x:v>1</x:v>
      </x:c>
      <x:c r="F85" s="94" t="n">
        <x:v>306834</x:v>
      </x:c>
      <x:c r="G85" s="93" t="n">
        <x:v>0.8256802713188647</x:v>
      </x:c>
      <x:c r="H85" s="93" t="n">
        <x:v>85.903</x:v>
      </x:c>
      <x:c r="I85" s="95" t="n">
        <x:v>0.00024390951384957593</x:v>
      </x:c>
      <x:c r="J85" s="95" t="n">
        <x:v>4.04593678549166e-16</x:v>
      </x:c>
      <x:c r="K85" s="95" t="n">
        <x:v>602850530745.3442</x:v>
      </x:c>
      <x:c r="L85" s="95" t="n">
        <x:v>7969167665897.724</x:v>
      </x:c>
      <x:c r="M85" s="95" t="n">
        <x:v>35.24903218255402</x:v>
      </x:c>
      <x:c r="N85" s="95" t="n">
        <x:v>367620241760374.06</x:v>
      </x:c>
      <x:c r="O85" s="95" t="n">
        <x:v>22.986148400552153</x:v>
      </x:c>
      <x:c r="P85" s="93"/>
      <x:c r="Q85" s="95"/>
      <x:c r="R85" s="95"/>
      <x:c r="S85" s="97" t="n">
        <x:v>1</x:v>
      </x:c>
      <x:c r="T85" s="93" t="n">
        <x:v>0.8293300000000017</x:v>
      </x:c>
      <x:c r="U85" s="98" t="n">
        <x:v>85.06550073620822</x:v>
      </x:c>
      <x:c r="V85" s="95" t="n">
        <x:v>0.00023927354061938633</x:v>
      </x:c>
      <x:c r="W85" s="95" t="n">
        <x:v>3.9993162046401585e-16</x:v>
      </x:c>
      <x:c r="X85" s="95" t="n">
        <x:v>598286127867.9893</x:v>
      </x:c>
      <x:c r="Y85" s="99" t="n">
        <x:f>IFERROR(IF(ISBLANK(INDEX('Long_TCAD'!$H$2:$H$176,MATCH(B85,'Long_TCAD'!$A$2:$A$176,0))),"",INDEX('Long_TCAD'!$H$2:$H$176,MATCH(B85,'Long_TCAD'!$A$2:$A$176,0))),"")</x:f>
        <x:v>0.838</x:v>
      </x:c>
      <x:c r="Z85" s="100" t="n">
        <x:f>IFERROR(IF(ISBLANK(INDEX('Long_TCAD'!$I$2:$I$176,MATCH(B85,'Long_TCAD'!$A$2:$A$176,0))),"",INDEX('Long_TCAD'!$I$2:$I$176,MATCH(B85,'Long_TCAD'!$A$2:$A$176,0))),"")</x:f>
        <x:v>84.834</x:v>
      </x:c>
      <x:c r="AA85" s="96" t="n">
        <x:f>IFERROR(IF(ISBLANK(INDEX('Long_TCAD'!$J$2:$J$176,MATCH(B85,'Long_TCAD'!$A$2:$A$176,0))),"",INDEX('Long_TCAD'!$J$2:$J$176,MATCH(B85,'Long_TCAD'!$A$2:$A$176,0))),"")</x:f>
        <x:v>0.0002452</x:v>
      </x:c>
      <x:c r="AB85" s="96" t="n">
        <x:f>IFERROR(IF(ISBLANK(INDEX('Long_TCAD'!$K$2:$K$176,MATCH(B85,'Long_TCAD'!$A$2:$A$176,0))),"",INDEX('Long_TCAD'!$K$2:$K$176,MATCH(B85,'Long_TCAD'!$A$2:$A$176,0))),"")</x:f>
        <x:v>4.127e-16</x:v>
      </x:c>
      <x:c r="AC85" s="95" t="n">
        <x:f>IF(OR(NOT(ISNUMBER(AA85)),NOT(ISNUMBER(AB85))),"",AA85/AB85)</x:f>
        <x:v>594136176399.3215</x:v>
      </x:c>
      <x:c r="AD85" s="93" t="n">
        <x:f>IF(NOT(ISNUMBER(Y85)),"",ABS(Y85-T85)*1000)</x:f>
        <x:v>8.66999999999829</x:v>
      </x:c>
      <x:c r="AE85" s="93" t="n">
        <x:f>IF(NOT(ISNUMBER(Z85)),"",ABS(Z85-U85))</x:f>
        <x:v>0.23150073620821843</x:v>
      </x:c>
      <x:c r="AF85" s="93" t="n">
        <x:f>IF(NOT(ISNUMBER(AA85)),"",ABS(LOG10(AA85)-LOG10(V85)))</x:f>
        <x:v>0.010625789791779638</x:v>
      </x:c>
      <x:c r="AG85" s="93" t="n">
        <x:f>IF(NOT(ISNUMBER(AB85)),"",ABS(LOG10(AB85)-LOG10(W85)))</x:f>
        <x:v>0.013648726033798297</x:v>
      </x:c>
      <x:c r="AH85" s="93" t="n">
        <x:f>IF(NOT(ISNUMBER(AC85)),"",ABS(LOG10(AC85)-LOG10(X85)))</x:f>
        <x:v>0.0030229362420008954</x:v>
      </x:c>
      <x:c r="AI85" s="85" t="str">
        <x:f>IF(OR(NOT(ISNUMBER(Y85)),NOT(ISNUMBER(Z85)),NOT(ISNUMBER(AA85)),NOT(ISNUMBER(AB85))),"",IF(AND(Y85&gt;=0.3,Y85&lt;=1.2,Z85&lt;=200,AA85&gt;=1E-4,AB85&lt;=1E-6),"PASS","FAIL"))</x:f>
        <x:v>PASS</x:v>
      </x:c>
      <x:c r="AJ85" s="85" t="str"/>
    </x:row>
    <x:row r="86">
      <x:c r="A86" s="85" t="str">
        <x:v>L0360-35</x:v>
      </x:c>
      <x:c r="B86" s="85" t="str">
        <x:v>LR079</x:v>
      </x:c>
      <x:c r="C86" s="93" t="n">
        <x:v>0.36</x:v>
      </x:c>
      <x:c r="D86" s="93" t="str">
        <x:v>Practical</x:v>
      </x:c>
      <x:c r="E86" s="93" t="n">
        <x:v>1</x:v>
      </x:c>
      <x:c r="F86" s="94" t="n">
        <x:v>299029</x:v>
      </x:c>
      <x:c r="G86" s="93" t="n">
        <x:v>0.8356357509851747</x:v>
      </x:c>
      <x:c r="H86" s="93" t="n">
        <x:v>85.903</x:v>
      </x:c>
      <x:c r="I86" s="95" t="n">
        <x:v>0.0002800338890954646</x:v>
      </x:c>
      <x:c r="J86" s="95" t="n">
        <x:v>6.243861955914234e-16</x:v>
      </x:c>
      <x:c r="K86" s="95" t="n">
        <x:v>448494683374.9493</x:v>
      </x:c>
      <x:c r="L86" s="95" t="n">
        <x:v>602332069804981</x:v>
      </x:c>
      <x:c r="M86" s="95" t="n">
        <x:v>33.828419889699745</x:v>
      </x:c>
      <x:c r="N86" s="95" t="n">
        <x:v>100345929843730.14</x:v>
      </x:c>
      <x:c r="O86" s="95" t="n">
        <x:v>10.059705323451684</x:v>
      </x:c>
      <x:c r="P86" s="93"/>
      <x:c r="Q86" s="95"/>
      <x:c r="R86" s="95"/>
      <x:c r="S86" s="97" t="n">
        <x:v>1</x:v>
      </x:c>
      <x:c r="T86" s="93" t="n">
        <x:v>0.8348066666666687</x:v>
      </x:c>
      <x:c r="U86" s="98" t="n">
        <x:v>84.89626603065125</x:v>
      </x:c>
      <x:c r="V86" s="95" t="n">
        <x:v>0.0002748586281261125</x:v>
      </x:c>
      <x:c r="W86" s="95" t="n">
        <x:v>6.164746301019894e-16</x:v>
      </x:c>
      <x:c r="X86" s="95" t="n">
        <x:v>445855538419.5453</x:v>
      </x:c>
      <x:c r="Y86" s="99" t="n">
        <x:f>IFERROR(IF(ISBLANK(INDEX('Long_TCAD'!$H$2:$H$176,MATCH(B86,'Long_TCAD'!$A$2:$A$176,0))),"",INDEX('Long_TCAD'!$H$2:$H$176,MATCH(B86,'Long_TCAD'!$A$2:$A$176,0))),"")</x:f>
        <x:v>0.831</x:v>
      </x:c>
      <x:c r="Z86" s="100" t="n">
        <x:f>IFERROR(IF(ISBLANK(INDEX('Long_TCAD'!$I$2:$I$176,MATCH(B86,'Long_TCAD'!$A$2:$A$176,0))),"",INDEX('Long_TCAD'!$I$2:$I$176,MATCH(B86,'Long_TCAD'!$A$2:$A$176,0))),"")</x:f>
        <x:v>84.756</x:v>
      </x:c>
      <x:c r="AA86" s="96" t="n">
        <x:f>IFERROR(IF(ISBLANK(INDEX('Long_TCAD'!$J$2:$J$176,MATCH(B86,'Long_TCAD'!$A$2:$A$176,0))),"",INDEX('Long_TCAD'!$J$2:$J$176,MATCH(B86,'Long_TCAD'!$A$2:$A$176,0))),"")</x:f>
        <x:v>0.0002754</x:v>
      </x:c>
      <x:c r="AB86" s="96" t="n">
        <x:f>IFERROR(IF(ISBLANK(INDEX('Long_TCAD'!$K$2:$K$176,MATCH(B86,'Long_TCAD'!$A$2:$A$176,0))),"",INDEX('Long_TCAD'!$K$2:$K$176,MATCH(B86,'Long_TCAD'!$A$2:$A$176,0))),"")</x:f>
        <x:v>6.438e-16</x:v>
      </x:c>
      <x:c r="AC86" s="95" t="n">
        <x:f>IF(OR(NOT(ISNUMBER(AA86)),NOT(ISNUMBER(AB86))),"",AA86/AB86)</x:f>
        <x:v>427772600186.3933</x:v>
      </x:c>
      <x:c r="AD86" s="93" t="n">
        <x:f>IF(NOT(ISNUMBER(Y86)),"",ABS(Y86-T86)*1000)</x:f>
        <x:v>3.8066666666687343</x:v>
      </x:c>
      <x:c r="AE86" s="93" t="n">
        <x:f>IF(NOT(ISNUMBER(Z86)),"",ABS(Z86-U86))</x:f>
        <x:v>0.14026603065124732</x:v>
      </x:c>
      <x:c r="AF86" s="93" t="n">
        <x:f>IF(NOT(ISNUMBER(AA86)),"",ABS(LOG10(AA86)-LOG10(V86)))</x:f>
        <x:v>0.0008545614056103545</x:v>
      </x:c>
      <x:c r="AG86" s="93" t="n">
        <x:f>IF(NOT(ISNUMBER(AB86)),"",ABS(LOG10(AB86)-LOG10(W86)))</x:f>
        <x:v>0.018835763653699544</x:v>
      </x:c>
      <x:c r="AH86" s="93" t="n">
        <x:f>IF(NOT(ISNUMBER(AC86)),"",ABS(LOG10(AC86)-LOG10(X86)))</x:f>
        <x:v>0.017981202248099848</x:v>
      </x:c>
      <x:c r="AI86" s="85" t="str">
        <x:f>IF(OR(NOT(ISNUMBER(Y86)),NOT(ISNUMBER(Z86)),NOT(ISNUMBER(AA86)),NOT(ISNUMBER(AB86))),"",IF(AND(Y86&gt;=0.3,Y86&lt;=1.2,Z86&lt;=200,AA86&gt;=1E-4,AB86&lt;=1E-6),"PASS","FAIL"))</x:f>
        <x:v>PASS</x:v>
      </x:c>
      <x:c r="AJ86" s="85" t="str"/>
    </x:row>
    <x:row r="87">
      <x:c r="A87" s="85" t="str">
        <x:v>L0360-36</x:v>
      </x:c>
      <x:c r="B87" s="85" t="str">
        <x:v>LR080</x:v>
      </x:c>
      <x:c r="C87" s="93" t="n">
        <x:v>0.36</x:v>
      </x:c>
      <x:c r="D87" s="93" t="str">
        <x:v>Practical</x:v>
      </x:c>
      <x:c r="E87" s="93" t="n">
        <x:v>1</x:v>
      </x:c>
      <x:c r="F87" s="94" t="n">
        <x:v>306700</x:v>
      </x:c>
      <x:c r="G87" s="93" t="n">
        <x:v>0.8470808389118394</x:v>
      </x:c>
      <x:c r="H87" s="93" t="n">
        <x:v>83.414</x:v>
      </x:c>
      <x:c r="I87" s="95" t="n">
        <x:v>0.0002831109348652664</x:v>
      </x:c>
      <x:c r="J87" s="95" t="n">
        <x:v>4.529594420896989e-16</x:v>
      </x:c>
      <x:c r="K87" s="95" t="n">
        <x:v>625024910749.5199</x:v>
      </x:c>
      <x:c r="L87" s="95" t="n">
        <x:v>562210470712165</x:v>
      </x:c>
      <x:c r="M87" s="95" t="n">
        <x:v>20.48659283622483</x:v>
      </x:c>
      <x:c r="N87" s="95" t="n">
        <x:v>7291419325296336</x:v>
      </x:c>
      <x:c r="O87" s="95" t="n">
        <x:v>21.766812502548518</x:v>
      </x:c>
      <x:c r="P87" s="93"/>
      <x:c r="Q87" s="95"/>
      <x:c r="R87" s="95"/>
      <x:c r="S87" s="97" t="n">
        <x:v>0.9933333333333333</x:v>
      </x:c>
      <x:c r="T87" s="93" t="n">
        <x:v>0.8435599999999975</x:v>
      </x:c>
      <x:c r="U87" s="98" t="n">
        <x:v>85.13786598764703</x:v>
      </x:c>
      <x:c r="V87" s="95" t="n">
        <x:v>0.00027402874957168646</x:v>
      </x:c>
      <x:c r="W87" s="95" t="n">
        <x:v>4.65832376337237e-16</x:v>
      </x:c>
      <x:c r="X87" s="95" t="n">
        <x:v>588256127078.0044</x:v>
      </x:c>
      <x:c r="Y87" s="99" t="n">
        <x:f>IFERROR(IF(ISBLANK(INDEX('Long_TCAD'!$H$2:$H$176,MATCH(B87,'Long_TCAD'!$A$2:$A$176,0))),"",INDEX('Long_TCAD'!$H$2:$H$176,MATCH(B87,'Long_TCAD'!$A$2:$A$176,0))),"")</x:f>
        <x:v>0.843</x:v>
      </x:c>
      <x:c r="Z87" s="100" t="n">
        <x:f>IFERROR(IF(ISBLANK(INDEX('Long_TCAD'!$I$2:$I$176,MATCH(B87,'Long_TCAD'!$A$2:$A$176,0))),"",INDEX('Long_TCAD'!$I$2:$I$176,MATCH(B87,'Long_TCAD'!$A$2:$A$176,0))),"")</x:f>
        <x:v>85.054</x:v>
      </x:c>
      <x:c r="AA87" s="96" t="n">
        <x:f>IFERROR(IF(ISBLANK(INDEX('Long_TCAD'!$J$2:$J$176,MATCH(B87,'Long_TCAD'!$A$2:$A$176,0))),"",INDEX('Long_TCAD'!$J$2:$J$176,MATCH(B87,'Long_TCAD'!$A$2:$A$176,0))),"")</x:f>
        <x:v>0.000273</x:v>
      </x:c>
      <x:c r="AB87" s="96" t="n">
        <x:f>IFERROR(IF(ISBLANK(INDEX('Long_TCAD'!$K$2:$K$176,MATCH(B87,'Long_TCAD'!$A$2:$A$176,0))),"",INDEX('Long_TCAD'!$K$2:$K$176,MATCH(B87,'Long_TCAD'!$A$2:$A$176,0))),"")</x:f>
        <x:v>4.841e-16</x:v>
      </x:c>
      <x:c r="AC87" s="95" t="n">
        <x:f>IF(OR(NOT(ISNUMBER(AA87)),NOT(ISNUMBER(AB87))),"",AA87/AB87)</x:f>
        <x:v>563933071679.4052</x:v>
      </x:c>
      <x:c r="AD87" s="93" t="n">
        <x:f>IF(NOT(ISNUMBER(Y87)),"",ABS(Y87-T87)*1000)</x:f>
        <x:v>0.5599999999975624</x:v>
      </x:c>
      <x:c r="AE87" s="93" t="n">
        <x:f>IF(NOT(ISNUMBER(Z87)),"",ABS(Z87-U87))</x:f>
        <x:v>0.08386598764703024</x:v>
      </x:c>
      <x:c r="AF87" s="93" t="n">
        <x:f>IF(NOT(ISNUMBER(AA87)),"",ABS(LOG10(AA87)-LOG10(V87)))</x:f>
        <x:v>0.0016334819305301451</x:v>
      </x:c>
      <x:c r="AG87" s="93" t="n">
        <x:f>IF(NOT(ISNUMBER(AB87)),"",ABS(LOG10(AB87)-LOG10(W87)))</x:f>
        <x:v>0.01670541300650008</x:v>
      </x:c>
      <x:c r="AH87" s="93" t="n">
        <x:f>IF(NOT(ISNUMBER(AC87)),"",ABS(LOG10(AC87)-LOG10(X87)))</x:f>
        <x:v>0.018338894937000916</x:v>
      </x:c>
      <x:c r="AI87" s="85" t="str">
        <x:f>IF(OR(NOT(ISNUMBER(Y87)),NOT(ISNUMBER(Z87)),NOT(ISNUMBER(AA87)),NOT(ISNUMBER(AB87))),"",IF(AND(Y87&gt;=0.3,Y87&lt;=1.2,Z87&lt;=200,AA87&gt;=1E-4,AB87&lt;=1E-6),"PASS","FAIL"))</x:f>
        <x:v>PASS</x:v>
      </x:c>
      <x:c r="AJ87" s="85" t="str"/>
    </x:row>
    <x:row r="88">
      <x:c r="A88" s="85" t="str">
        <x:v>L0360-37</x:v>
      </x:c>
      <x:c r="B88" s="85" t="str">
        <x:v>LR081</x:v>
      </x:c>
      <x:c r="C88" s="93" t="n">
        <x:v>0.36</x:v>
      </x:c>
      <x:c r="D88" s="93" t="str">
        <x:v>Practical</x:v>
      </x:c>
      <x:c r="E88" s="93" t="n">
        <x:v>1</x:v>
      </x:c>
      <x:c r="F88" s="94" t="n">
        <x:v>249941</x:v>
      </x:c>
      <x:c r="G88" s="93" t="n">
        <x:v>0.8258623404095174</x:v>
      </x:c>
      <x:c r="H88" s="93" t="n">
        <x:v>83.414</x:v>
      </x:c>
      <x:c r="I88" s="95" t="n">
        <x:v>0.00023458801236270527</x:v>
      </x:c>
      <x:c r="J88" s="95" t="n">
        <x:v>7.328814343847272e-16</x:v>
      </x:c>
      <x:c r="K88" s="95" t="n">
        <x:v>320089991854.7506</x:v>
      </x:c>
      <x:c r="L88" s="95" t="n">
        <x:v>51838536534533.47</x:v>
      </x:c>
      <x:c r="M88" s="95" t="n">
        <x:v>69.43665403347569</x:v>
      </x:c>
      <x:c r="N88" s="95" t="n">
        <x:v>119255357713149.17</x:v>
      </x:c>
      <x:c r="O88" s="95" t="n">
        <x:v>38.65203126421056</x:v>
      </x:c>
      <x:c r="P88" s="93"/>
      <x:c r="Q88" s="95"/>
      <x:c r="R88" s="95"/>
      <x:c r="S88" s="97" t="n">
        <x:v>0.9966666666666667</x:v>
      </x:c>
      <x:c r="T88" s="93" t="n">
        <x:v>0.7994333333333362</x:v>
      </x:c>
      <x:c r="U88" s="98" t="n">
        <x:v>83.78051580406088</x:v>
      </x:c>
      <x:c r="V88" s="95" t="n">
        <x:v>0.0002463637794866708</x:v>
      </x:c>
      <x:c r="W88" s="95" t="n">
        <x:v>7.143111271777259e-16</x:v>
      </x:c>
      <x:c r="X88" s="95" t="n">
        <x:v>344897020518.3065</x:v>
      </x:c>
      <x:c r="Y88" s="99" t="n">
        <x:f>IFERROR(IF(ISBLANK(INDEX('Long_TCAD'!$H$2:$H$176,MATCH(B88,'Long_TCAD'!$A$2:$A$176,0))),"",INDEX('Long_TCAD'!$H$2:$H$176,MATCH(B88,'Long_TCAD'!$A$2:$A$176,0))),"")</x:f>
        <x:v>0.798</x:v>
      </x:c>
      <x:c r="Z88" s="100" t="n">
        <x:f>IFERROR(IF(ISBLANK(INDEX('Long_TCAD'!$I$2:$I$176,MATCH(B88,'Long_TCAD'!$A$2:$A$176,0))),"",INDEX('Long_TCAD'!$I$2:$I$176,MATCH(B88,'Long_TCAD'!$A$2:$A$176,0))),"")</x:f>
        <x:v>83.735</x:v>
      </x:c>
      <x:c r="AA88" s="96" t="n">
        <x:f>IFERROR(IF(ISBLANK(INDEX('Long_TCAD'!$J$2:$J$176,MATCH(B88,'Long_TCAD'!$A$2:$A$176,0))),"",INDEX('Long_TCAD'!$J$2:$J$176,MATCH(B88,'Long_TCAD'!$A$2:$A$176,0))),"")</x:f>
        <x:v>0.0002667</x:v>
      </x:c>
      <x:c r="AB88" s="96" t="n">
        <x:f>IFERROR(IF(ISBLANK(INDEX('Long_TCAD'!$K$2:$K$176,MATCH(B88,'Long_TCAD'!$A$2:$A$176,0))),"",INDEX('Long_TCAD'!$K$2:$K$176,MATCH(B88,'Long_TCAD'!$A$2:$A$176,0))),"")</x:f>
        <x:v>1.048e-15</x:v>
      </x:c>
      <x:c r="AC88" s="95" t="n">
        <x:f>IF(OR(NOT(ISNUMBER(AA88)),NOT(ISNUMBER(AB88))),"",AA88/AB88)</x:f>
        <x:v>254484732824.42743</x:v>
      </x:c>
      <x:c r="AD88" s="93" t="n">
        <x:f>IF(NOT(ISNUMBER(Y88)),"",ABS(Y88-T88)*1000)</x:f>
        <x:v>1.433333333336173</x:v>
      </x:c>
      <x:c r="AE88" s="93" t="n">
        <x:f>IF(NOT(ISNUMBER(Z88)),"",ABS(Z88-U88))</x:f>
        <x:v>0.045515804060883625</x:v>
      </x:c>
      <x:c r="AF88" s="93" t="n">
        <x:f>IF(NOT(ISNUMBER(AA88)),"",ABS(LOG10(AA88)-LOG10(V88)))</x:f>
        <x:v>0.03444615767377979</x:v>
      </x:c>
      <x:c r="AG88" s="93" t="n">
        <x:f>IF(NOT(ISNUMBER(AB88)),"",ABS(LOG10(AB88)-LOG10(W88)))</x:f>
        <x:v>0.16647386725050062</x:v>
      </x:c>
      <x:c r="AH88" s="93" t="n">
        <x:f>IF(NOT(ISNUMBER(AC88)),"",ABS(LOG10(AC88)-LOG10(X88)))</x:f>
        <x:v>0.1320277095767004</x:v>
      </x:c>
      <x:c r="AI88" s="85" t="str">
        <x:f>IF(OR(NOT(ISNUMBER(Y88)),NOT(ISNUMBER(Z88)),NOT(ISNUMBER(AA88)),NOT(ISNUMBER(AB88))),"",IF(AND(Y88&gt;=0.3,Y88&lt;=1.2,Z88&lt;=200,AA88&gt;=1E-4,AB88&lt;=1E-6),"PASS","FAIL"))</x:f>
        <x:v>PASS</x:v>
      </x:c>
      <x:c r="AJ88" s="85" t="str"/>
    </x:row>
    <x:row r="89">
      <x:c r="A89" s="85" t="str">
        <x:v>L0360-38</x:v>
      </x:c>
      <x:c r="B89" s="85" t="str">
        <x:v>LR082</x:v>
      </x:c>
      <x:c r="C89" s="93" t="n">
        <x:v>0.36</x:v>
      </x:c>
      <x:c r="D89" s="93" t="str">
        <x:v>Practical</x:v>
      </x:c>
      <x:c r="E89" s="93" t="n">
        <x:v>1</x:v>
      </x:c>
      <x:c r="F89" s="94" t="n">
        <x:v>286341</x:v>
      </x:c>
      <x:c r="G89" s="93" t="n">
        <x:v>0.8240980959859876</x:v>
      </x:c>
      <x:c r="H89" s="93" t="n">
        <x:v>85.903</x:v>
      </x:c>
      <x:c r="I89" s="95" t="n">
        <x:v>0.0003258695584403267</x:v>
      </x:c>
      <x:c r="J89" s="95" t="n">
        <x:v>6.60459078073761e-16</x:v>
      </x:c>
      <x:c r="K89" s="95" t="n">
        <x:v>493398560575.0628</x:v>
      </x:c>
      <x:c r="L89" s="95" t="n">
        <x:v>551563664002511.2</x:v>
      </x:c>
      <x:c r="M89" s="95" t="n">
        <x:v>13.085007092645231</x:v>
      </x:c>
      <x:c r="N89" s="95" t="n">
        <x:v>388612928679471700</x:v>
      </x:c>
      <x:c r="O89" s="95" t="n">
        <x:v>16.029299810430278</x:v>
      </x:c>
      <x:c r="P89" s="93"/>
      <x:c r="Q89" s="95"/>
      <x:c r="R89" s="95"/>
      <x:c r="S89" s="97" t="n">
        <x:v>0.9966666666666667</x:v>
      </x:c>
      <x:c r="T89" s="93" t="n">
        <x:v>0.825273333333332</x:v>
      </x:c>
      <x:c r="U89" s="98" t="n">
        <x:v>84.22704272034169</x:v>
      </x:c>
      <x:c r="V89" s="95" t="n">
        <x:v>0.0002858286588631819</x:v>
      </x:c>
      <x:c r="W89" s="95" t="n">
        <x:v>6.683581764985338e-16</x:v>
      </x:c>
      <x:c r="X89" s="95" t="n">
        <x:v>427657906963.3166</x:v>
      </x:c>
      <x:c r="Y89" s="99" t="n">
        <x:f>IFERROR(IF(ISBLANK(INDEX('Long_TCAD'!$H$2:$H$176,MATCH(B89,'Long_TCAD'!$A$2:$A$176,0))),"",INDEX('Long_TCAD'!$H$2:$H$176,MATCH(B89,'Long_TCAD'!$A$2:$A$176,0))),"")</x:f>
        <x:v>0.8</x:v>
      </x:c>
      <x:c r="Z89" s="100" t="n">
        <x:f>IFERROR(IF(ISBLANK(INDEX('Long_TCAD'!$I$2:$I$176,MATCH(B89,'Long_TCAD'!$A$2:$A$176,0))),"",INDEX('Long_TCAD'!$I$2:$I$176,MATCH(B89,'Long_TCAD'!$A$2:$A$176,0))),"")</x:f>
        <x:v>83.53</x:v>
      </x:c>
      <x:c r="AA89" s="96" t="n">
        <x:f>IFERROR(IF(ISBLANK(INDEX('Long_TCAD'!$J$2:$J$176,MATCH(B89,'Long_TCAD'!$A$2:$A$176,0))),"",INDEX('Long_TCAD'!$J$2:$J$176,MATCH(B89,'Long_TCAD'!$A$2:$A$176,0))),"")</x:f>
        <x:v>0.0003024</x:v>
      </x:c>
      <x:c r="AB89" s="96" t="n">
        <x:f>IFERROR(IF(ISBLANK(INDEX('Long_TCAD'!$K$2:$K$176,MATCH(B89,'Long_TCAD'!$A$2:$A$176,0))),"",INDEX('Long_TCAD'!$K$2:$K$176,MATCH(B89,'Long_TCAD'!$A$2:$A$176,0))),"")</x:f>
        <x:v>1.738e-15</x:v>
      </x:c>
      <x:c r="AC89" s="95" t="n">
        <x:f>IF(OR(NOT(ISNUMBER(AA89)),NOT(ISNUMBER(AB89))),"",AA89/AB89)</x:f>
        <x:v>173993095512.08282</x:v>
      </x:c>
      <x:c r="AD89" s="93" t="n">
        <x:f>IF(NOT(ISNUMBER(Y89)),"",ABS(Y89-T89)*1000)</x:f>
        <x:v>25.273333333331927</x:v>
      </x:c>
      <x:c r="AE89" s="93" t="n">
        <x:f>IF(NOT(ISNUMBER(Z89)),"",ABS(Z89-U89))</x:f>
        <x:v>0.6970427203416847</x:v>
      </x:c>
      <x:c r="AF89" s="93" t="n">
        <x:f>IF(NOT(ISNUMBER(AA89)),"",ABS(LOG10(AA89)-LOG10(V89)))</x:f>
        <x:v>0.024476015270850304</x:v>
      </x:c>
      <x:c r="AG89" s="93" t="n">
        <x:f>IF(NOT(ISNUMBER(AB89)),"",ABS(LOG10(AB89)-LOG10(W89)))</x:f>
        <x:v>0.4150405066605991</x:v>
      </x:c>
      <x:c r="AH89" s="93" t="n">
        <x:f>IF(NOT(ISNUMBER(AC89)),"",ABS(LOG10(AC89)-LOG10(X89)))</x:f>
        <x:v>0.39056449138979943</x:v>
      </x:c>
      <x:c r="AI89" s="85" t="str">
        <x:f>IF(OR(NOT(ISNUMBER(Y89)),NOT(ISNUMBER(Z89)),NOT(ISNUMBER(AA89)),NOT(ISNUMBER(AB89))),"",IF(AND(Y89&gt;=0.3,Y89&lt;=1.2,Z89&lt;=200,AA89&gt;=1E-4,AB89&lt;=1E-6),"PASS","FAIL"))</x:f>
        <x:v>PASS</x:v>
      </x:c>
      <x:c r="AJ89" s="85" t="str"/>
    </x:row>
    <x:row r="90">
      <x:c r="A90" s="85" t="str">
        <x:v>L0360-39</x:v>
      </x:c>
      <x:c r="B90" s="85" t="str">
        <x:v>LR083</x:v>
      </x:c>
      <x:c r="C90" s="93" t="n">
        <x:v>0.36</x:v>
      </x:c>
      <x:c r="D90" s="93" t="str">
        <x:v>Practical</x:v>
      </x:c>
      <x:c r="E90" s="93" t="n">
        <x:v>1</x:v>
      </x:c>
      <x:c r="F90" s="94" t="n">
        <x:v>279185</x:v>
      </x:c>
      <x:c r="G90" s="93" t="n">
        <x:v>0.8333331306019685</x:v>
      </x:c>
      <x:c r="H90" s="93" t="n">
        <x:v>85.903</x:v>
      </x:c>
      <x:c r="I90" s="95" t="n">
        <x:v>0.0002469714792574779</x:v>
      </x:c>
      <x:c r="J90" s="95" t="n">
        <x:v>6.778236284511781e-16</x:v>
      </x:c>
      <x:c r="K90" s="95" t="n">
        <x:v>364359501337.8419</x:v>
      </x:c>
      <x:c r="L90" s="95" t="n">
        <x:v>20898816290418.855</x:v>
      </x:c>
      <x:c r="M90" s="95" t="n">
        <x:v>61.363625865824524</x:v>
      </x:c>
      <x:c r="N90" s="95" t="n">
        <x:v>450492661777572.5</x:v>
      </x:c>
      <x:c r="O90" s="95" t="n">
        <x:v>36.60609517905868</x:v>
      </x:c>
      <x:c r="P90" s="93"/>
      <x:c r="Q90" s="95"/>
      <x:c r="R90" s="95"/>
      <x:c r="S90" s="97" t="n">
        <x:v>0.9966666666666667</x:v>
      </x:c>
      <x:c r="T90" s="93" t="n">
        <x:v>0.8064600000000037</x:v>
      </x:c>
      <x:c r="U90" s="98" t="n">
        <x:v>83.86589598505901</x:v>
      </x:c>
      <x:c r="V90" s="95" t="n">
        <x:v>0.0002463637794866708</x:v>
      </x:c>
      <x:c r="W90" s="95" t="n">
        <x:v>6.720224042765417e-16</x:v>
      </x:c>
      <x:c r="X90" s="95" t="n">
        <x:v>366600544742.09235</x:v>
      </x:c>
      <x:c r="Y90" s="99" t="n">
        <x:f>IFERROR(IF(ISBLANK(INDEX('Long_TCAD'!$H$2:$H$176,MATCH(B90,'Long_TCAD'!$A$2:$A$176,0))),"",INDEX('Long_TCAD'!$H$2:$H$176,MATCH(B90,'Long_TCAD'!$A$2:$A$176,0))),"")</x:f>
        <x:v>0.814</x:v>
      </x:c>
      <x:c r="Z90" s="100" t="n">
        <x:f>IFERROR(IF(ISBLANK(INDEX('Long_TCAD'!$I$2:$I$176,MATCH(B90,'Long_TCAD'!$A$2:$A$176,0))),"",INDEX('Long_TCAD'!$I$2:$I$176,MATCH(B90,'Long_TCAD'!$A$2:$A$176,0))),"")</x:f>
        <x:v>83.854</x:v>
      </x:c>
      <x:c r="AA90" s="96" t="n">
        <x:f>IFERROR(IF(ISBLANK(INDEX('Long_TCAD'!$J$2:$J$176,MATCH(B90,'Long_TCAD'!$A$2:$A$176,0))),"",INDEX('Long_TCAD'!$J$2:$J$176,MATCH(B90,'Long_TCAD'!$A$2:$A$176,0))),"")</x:f>
        <x:v>0.0002612</x:v>
      </x:c>
      <x:c r="AB90" s="96" t="n">
        <x:f>IFERROR(IF(ISBLANK(INDEX('Long_TCAD'!$K$2:$K$176,MATCH(B90,'Long_TCAD'!$A$2:$A$176,0))),"",INDEX('Long_TCAD'!$K$2:$K$176,MATCH(B90,'Long_TCAD'!$A$2:$A$176,0))),"")</x:f>
        <x:v>6.64e-16</x:v>
      </x:c>
      <x:c r="AC90" s="95" t="n">
        <x:f>IF(OR(NOT(ISNUMBER(AA90)),NOT(ISNUMBER(AB90))),"",AA90/AB90)</x:f>
        <x:v>393373493975.9036</x:v>
      </x:c>
      <x:c r="AD90" s="93" t="n">
        <x:f>IF(NOT(ISNUMBER(Y90)),"",ABS(Y90-T90)*1000)</x:f>
        <x:v>7.539999999996216</x:v>
      </x:c>
      <x:c r="AE90" s="93" t="n">
        <x:f>IF(NOT(ISNUMBER(Z90)),"",ABS(Z90-U90))</x:f>
        <x:v>0.011895985059013015</x:v>
      </x:c>
      <x:c r="AF90" s="93" t="n">
        <x:f>IF(NOT(ISNUMBER(AA90)),"",ABS(LOG10(AA90)-LOG10(V90)))</x:f>
        <x:v>0.025396314586939805</x:v>
      </x:c>
      <x:c r="AG90" s="93" t="n">
        <x:f>IF(NOT(ISNUMBER(AB90)),"",ABS(LOG10(AB90)-LOG10(W90)))</x:f>
        <x:v>0.00521567269099954</x:v>
      </x:c>
      <x:c r="AH90" s="93" t="n">
        <x:f>IF(NOT(ISNUMBER(AC90)),"",ABS(LOG10(AC90)-LOG10(X90)))</x:f>
        <x:v>0.030611987277898933</x:v>
      </x:c>
      <x:c r="AI90" s="85" t="str">
        <x:f>IF(OR(NOT(ISNUMBER(Y90)),NOT(ISNUMBER(Z90)),NOT(ISNUMBER(AA90)),NOT(ISNUMBER(AB90))),"",IF(AND(Y90&gt;=0.3,Y90&lt;=1.2,Z90&lt;=200,AA90&gt;=1E-4,AB90&lt;=1E-6),"PASS","FAIL"))</x:f>
        <x:v>PASS</x:v>
      </x:c>
      <x:c r="AJ90" s="85" t="str"/>
    </x:row>
    <x:row r="91">
      <x:c r="A91" s="85" t="str">
        <x:v>L0360-40</x:v>
      </x:c>
      <x:c r="B91" s="85" t="str">
        <x:v>LR084</x:v>
      </x:c>
      <x:c r="C91" s="93" t="n">
        <x:v>0.36</x:v>
      </x:c>
      <x:c r="D91" s="93" t="str">
        <x:v>Practical</x:v>
      </x:c>
      <x:c r="E91" s="93" t="n">
        <x:v>1</x:v>
      </x:c>
      <x:c r="F91" s="94" t="n">
        <x:v>310636</x:v>
      </x:c>
      <x:c r="G91" s="93" t="n">
        <x:v>0.8497875210510198</x:v>
      </x:c>
      <x:c r="H91" s="93" t="n">
        <x:v>83.414</x:v>
      </x:c>
      <x:c r="I91" s="95" t="n">
        <x:v>0.0002571500788945052</x:v>
      </x:c>
      <x:c r="J91" s="95" t="n">
        <x:v>4.676782452171585e-16</x:v>
      </x:c>
      <x:c r="K91" s="95" t="n">
        <x:v>549844003915.7731</x:v>
      </x:c>
      <x:c r="L91" s="95" t="n">
        <x:v>519160546758320.25</x:v>
      </x:c>
      <x:c r="M91" s="95" t="n">
        <x:v>36.66076136285908</x:v>
      </x:c>
      <x:c r="N91" s="95" t="n">
        <x:v>372215642456992.8</x:v>
      </x:c>
      <x:c r="O91" s="95" t="n">
        <x:v>27.142292812575576</x:v>
      </x:c>
      <x:c r="P91" s="93"/>
      <x:c r="Q91" s="95"/>
      <x:c r="R91" s="95"/>
      <x:c r="S91" s="97" t="n">
        <x:v>1</x:v>
      </x:c>
      <x:c r="T91" s="93" t="n">
        <x:v>0.8332599999999992</x:v>
      </x:c>
      <x:c r="U91" s="98" t="n">
        <x:v>84.86997430556129</x:v>
      </x:c>
      <x:c r="V91" s="95" t="n">
        <x:v>0.0002610716508737676</x:v>
      </x:c>
      <x:c r="W91" s="95" t="n">
        <x:v>4.680590212785321e-16</x:v>
      </x:c>
      <x:c r="X91" s="95" t="n">
        <x:v>557775064692.9832</x:v>
      </x:c>
      <x:c r="Y91" s="99" t="n">
        <x:f>IFERROR(IF(ISBLANK(INDEX('Long_TCAD'!$H$2:$H$176,MATCH(B91,'Long_TCAD'!$A$2:$A$176,0))),"",INDEX('Long_TCAD'!$H$2:$H$176,MATCH(B91,'Long_TCAD'!$A$2:$A$176,0))),"")</x:f>
        <x:v>0.831</x:v>
      </x:c>
      <x:c r="Z91" s="100" t="n">
        <x:f>IFERROR(IF(ISBLANK(INDEX('Long_TCAD'!$I$2:$I$176,MATCH(B91,'Long_TCAD'!$A$2:$A$176,0))),"",INDEX('Long_TCAD'!$I$2:$I$176,MATCH(B91,'Long_TCAD'!$A$2:$A$176,0))),"")</x:f>
        <x:v>84.629</x:v>
      </x:c>
      <x:c r="AA91" s="96" t="n">
        <x:f>IFERROR(IF(ISBLANK(INDEX('Long_TCAD'!$J$2:$J$176,MATCH(B91,'Long_TCAD'!$A$2:$A$176,0))),"",INDEX('Long_TCAD'!$J$2:$J$176,MATCH(B91,'Long_TCAD'!$A$2:$A$176,0))),"")</x:f>
        <x:v>0.0002776</x:v>
      </x:c>
      <x:c r="AB91" s="96" t="n">
        <x:f>IFERROR(IF(ISBLANK(INDEX('Long_TCAD'!$K$2:$K$176,MATCH(B91,'Long_TCAD'!$A$2:$A$176,0))),"",INDEX('Long_TCAD'!$K$2:$K$176,MATCH(B91,'Long_TCAD'!$A$2:$A$176,0))),"")</x:f>
        <x:v>6.303e-16</x:v>
      </x:c>
      <x:c r="AC91" s="95" t="n">
        <x:f>IF(OR(NOT(ISNUMBER(AA91)),NOT(ISNUMBER(AB91))),"",AA91/AB91)</x:f>
        <x:v>440425194351.89594</x:v>
      </x:c>
      <x:c r="AD91" s="93" t="n">
        <x:f>IF(NOT(ISNUMBER(Y91)),"",ABS(Y91-T91)*1000)</x:f>
        <x:v>2.2599999999992626</x:v>
      </x:c>
      <x:c r="AE91" s="93" t="n">
        <x:f>IF(NOT(ISNUMBER(Z91)),"",ABS(Z91-U91))</x:f>
        <x:v>0.24097430556128074</x:v>
      </x:c>
      <x:c r="AF91" s="93" t="n">
        <x:f>IF(NOT(ISNUMBER(AA91)),"",ABS(LOG10(AA91)-LOG10(V91)))</x:f>
        <x:v>0.02665974636556001</x:v>
      </x:c>
      <x:c r="AG91" s="93" t="n">
        <x:f>IF(NOT(ISNUMBER(AB91)),"",ABS(LOG10(AB91)-LOG10(W91)))</x:f>
        <x:v>0.1292466869586999</x:v>
      </x:c>
      <x:c r="AH91" s="93" t="n">
        <x:f>IF(NOT(ISNUMBER(AC91)),"",ABS(LOG10(AC91)-LOG10(X91)))</x:f>
        <x:v>0.1025869405931985</x:v>
      </x:c>
      <x:c r="AI91" s="85" t="str">
        <x:f>IF(OR(NOT(ISNUMBER(Y91)),NOT(ISNUMBER(Z91)),NOT(ISNUMBER(AA91)),NOT(ISNUMBER(AB91))),"",IF(AND(Y91&gt;=0.3,Y91&lt;=1.2,Z91&lt;=200,AA91&gt;=1E-4,AB91&lt;=1E-6),"PASS","FAIL"))</x:f>
        <x:v>PASS</x:v>
      </x:c>
      <x:c r="AJ91" s="85" t="str"/>
    </x:row>
    <x:row r="92">
      <x:c r="A92" s="85" t="str">
        <x:v>L0360-41</x:v>
      </x:c>
      <x:c r="B92" s="85" t="str">
        <x:v>LR085</x:v>
      </x:c>
      <x:c r="C92" s="93" t="n">
        <x:v>0.36</x:v>
      </x:c>
      <x:c r="D92" s="93" t="str">
        <x:v>Practical</x:v>
      </x:c>
      <x:c r="E92" s="93" t="n">
        <x:v>1</x:v>
      </x:c>
      <x:c r="F92" s="94" t="n">
        <x:v>327819</x:v>
      </x:c>
      <x:c r="G92" s="93" t="n">
        <x:v>0.8429654106163855</x:v>
      </x:c>
      <x:c r="H92" s="93" t="n">
        <x:v>83.65471080105357</x:v>
      </x:c>
      <x:c r="I92" s="95" t="n">
        <x:v>0.00023524455674747943</x:v>
      </x:c>
      <x:c r="J92" s="95" t="n">
        <x:v>4.918877672364544e-16</x:v>
      </x:c>
      <x:c r="K92" s="95" t="n">
        <x:v>478248438803.7149</x:v>
      </x:c>
      <x:c r="L92" s="95" t="n">
        <x:v>38807866419656.6</x:v>
      </x:c>
      <x:c r="M92" s="95" t="n">
        <x:v>48.42768223018432</x:v>
      </x:c>
      <x:c r="N92" s="95" t="n">
        <x:v>190582871990247.03</x:v>
      </x:c>
      <x:c r="O92" s="95" t="n">
        <x:v>27.49362562305209</x:v>
      </x:c>
      <x:c r="P92" s="93"/>
      <x:c r="Q92" s="95"/>
      <x:c r="R92" s="95"/>
      <x:c r="S92" s="97" t="n">
        <x:v>1</x:v>
      </x:c>
      <x:c r="T92" s="93" t="n">
        <x:v>0.8259499999999962</x:v>
      </x:c>
      <x:c r="U92" s="98" t="n">
        <x:v>84.35615058145353</x:v>
      </x:c>
      <x:c r="V92" s="95" t="n">
        <x:v>0.00024267559419351812</x:v>
      </x:c>
      <x:c r="W92" s="95" t="n">
        <x:v>4.89759878308833e-16</x:v>
      </x:c>
      <x:c r="X92" s="95" t="n">
        <x:v>495499131189.5329</x:v>
      </x:c>
      <x:c r="Y92" s="99" t="n">
        <x:f>IFERROR(IF(ISBLANK(INDEX('Long_TCAD'!$H$2:$H$176,MATCH(B92,'Long_TCAD'!$A$2:$A$176,0))),"",INDEX('Long_TCAD'!$H$2:$H$176,MATCH(B92,'Long_TCAD'!$A$2:$A$176,0))),"")</x:f>
        <x:v>0.821</x:v>
      </x:c>
      <x:c r="Z92" s="100" t="n">
        <x:f>IFERROR(IF(ISBLANK(INDEX('Long_TCAD'!$I$2:$I$176,MATCH(B92,'Long_TCAD'!$A$2:$A$176,0))),"",INDEX('Long_TCAD'!$I$2:$I$176,MATCH(B92,'Long_TCAD'!$A$2:$A$176,0))),"")</x:f>
        <x:v>84.374</x:v>
      </x:c>
      <x:c r="AA92" s="96" t="n">
        <x:f>IFERROR(IF(ISBLANK(INDEX('Long_TCAD'!$J$2:$J$176,MATCH(B92,'Long_TCAD'!$A$2:$A$176,0))),"",INDEX('Long_TCAD'!$J$2:$J$176,MATCH(B92,'Long_TCAD'!$A$2:$A$176,0))),"")</x:f>
        <x:v>0.0002599</x:v>
      </x:c>
      <x:c r="AB92" s="96" t="n">
        <x:f>IFERROR(IF(ISBLANK(INDEX('Long_TCAD'!$K$2:$K$176,MATCH(B92,'Long_TCAD'!$A$2:$A$176,0))),"",INDEX('Long_TCAD'!$K$2:$K$176,MATCH(B92,'Long_TCAD'!$A$2:$A$176,0))),"")</x:f>
        <x:v>5.648e-16</x:v>
      </x:c>
      <x:c r="AC92" s="95" t="n">
        <x:f>IF(OR(NOT(ISNUMBER(AA92)),NOT(ISNUMBER(AB92))),"",AA92/AB92)</x:f>
        <x:v>460162889518.4135</x:v>
      </x:c>
      <x:c r="AD92" s="93" t="n">
        <x:f>IF(NOT(ISNUMBER(Y92)),"",ABS(Y92-T92)*1000)</x:f>
        <x:v>4.949999999996235</x:v>
      </x:c>
      <x:c r="AE92" s="93" t="n">
        <x:f>IF(NOT(ISNUMBER(Z92)),"",ABS(Z92-U92))</x:f>
        <x:v>0.017849418546461493</x:v>
      </x:c>
      <x:c r="AF92" s="93" t="n">
        <x:f>IF(NOT(ISNUMBER(AA92)),"",ABS(LOG10(AA92)-LOG10(V92)))</x:f>
        <x:v>0.029780177829350052</x:v>
      </x:c>
      <x:c r="AG92" s="93" t="n">
        <x:f>IF(NOT(ISNUMBER(AB92)),"",ABS(LOG10(AB92)-LOG10(W92)))</x:f>
        <x:v>0.06191148369999944</x:v>
      </x:c>
      <x:c r="AH92" s="93" t="n">
        <x:f>IF(NOT(ISNUMBER(AC92)),"",ABS(LOG10(AC92)-LOG10(X92)))</x:f>
        <x:v>0.03213130587069912</x:v>
      </x:c>
      <x:c r="AI92" s="85" t="str">
        <x:f>IF(OR(NOT(ISNUMBER(Y92)),NOT(ISNUMBER(Z92)),NOT(ISNUMBER(AA92)),NOT(ISNUMBER(AB92))),"",IF(AND(Y92&gt;=0.3,Y92&lt;=1.2,Z92&lt;=200,AA92&gt;=1E-4,AB92&lt;=1E-6),"PASS","FAIL"))</x:f>
        <x:v>PASS</x:v>
      </x:c>
      <x:c r="AJ92" s="85" t="str"/>
    </x:row>
    <x:row r="93">
      <x:c r="A93" s="85" t="str">
        <x:v>L0360-42</x:v>
      </x:c>
      <x:c r="B93" s="85" t="str">
        <x:v>LR067</x:v>
      </x:c>
      <x:c r="C93" s="93" t="n">
        <x:v>0.36</x:v>
      </x:c>
      <x:c r="D93" s="93" t="str">
        <x:v>Practical</x:v>
      </x:c>
      <x:c r="E93" s="93" t="n">
        <x:v>1</x:v>
      </x:c>
      <x:c r="F93" s="94" t="n">
        <x:v>314322</x:v>
      </x:c>
      <x:c r="G93" s="93" t="n">
        <x:v>0.8254184302725917</x:v>
      </x:c>
      <x:c r="H93" s="93" t="n">
        <x:v>85.903</x:v>
      </x:c>
      <x:c r="I93" s="95" t="n">
        <x:v>0.00031049729619385505</x:v>
      </x:c>
      <x:c r="J93" s="95" t="n">
        <x:v>5.804251696120711e-16</x:v>
      </x:c>
      <x:c r="K93" s="95" t="n">
        <x:v>534948021639.6833</x:v>
      </x:c>
      <x:c r="L93" s="95" t="n">
        <x:v>557177010922207.6</x:v>
      </x:c>
      <x:c r="M93" s="95" t="n">
        <x:v>37.14267330531688</x:v>
      </x:c>
      <x:c r="N93" s="95" t="n">
        <x:v>44828426618598030</x:v>
      </x:c>
      <x:c r="O93" s="95" t="n">
        <x:v>27.919377431388096</x:v>
      </x:c>
      <x:c r="P93" s="93"/>
      <x:c r="Q93" s="95"/>
      <x:c r="R93" s="95"/>
      <x:c r="S93" s="97" t="n">
        <x:v>0.9866666666666667</x:v>
      </x:c>
      <x:c r="T93" s="93" t="n">
        <x:v>0.8280299999999994</x:v>
      </x:c>
      <x:c r="U93" s="98" t="n">
        <x:v>84.406381725597</x:v>
      </x:c>
      <x:c r="V93" s="95" t="n">
        <x:v>0.0002837258190968579</x:v>
      </x:c>
      <x:c r="W93" s="95" t="n">
        <x:v>5.810124985799858e-16</x:v>
      </x:c>
      <x:c r="X93" s="95" t="n">
        <x:v>488329975328.0582</x:v>
      </x:c>
      <x:c r="Y93" s="99" t="n">
        <x:f>IFERROR(IF(ISBLANK(INDEX('Long_TCAD'!$H$2:$H$176,MATCH(B93,'Long_TCAD'!$A$2:$A$176,0))),"",INDEX('Long_TCAD'!$H$2:$H$176,MATCH(B93,'Long_TCAD'!$A$2:$A$176,0))),"")</x:f>
        <x:v>0.801</x:v>
      </x:c>
      <x:c r="Z93" s="100" t="n">
        <x:f>IFERROR(IF(ISBLANK(INDEX('Long_TCAD'!$I$2:$I$176,MATCH(B93,'Long_TCAD'!$A$2:$A$176,0))),"",INDEX('Long_TCAD'!$I$2:$I$176,MATCH(B93,'Long_TCAD'!$A$2:$A$176,0))),"")</x:f>
        <x:v>83.467</x:v>
      </x:c>
      <x:c r="AA93" s="96" t="n">
        <x:f>IFERROR(IF(ISBLANK(INDEX('Long_TCAD'!$J$2:$J$176,MATCH(B93,'Long_TCAD'!$A$2:$A$176,0))),"",INDEX('Long_TCAD'!$J$2:$J$176,MATCH(B93,'Long_TCAD'!$A$2:$A$176,0))),"")</x:f>
        <x:v>0.0002998</x:v>
      </x:c>
      <x:c r="AB93" s="96" t="n">
        <x:f>IFERROR(IF(ISBLANK(INDEX('Long_TCAD'!$K$2:$K$176,MATCH(B93,'Long_TCAD'!$A$2:$A$176,0))),"",INDEX('Long_TCAD'!$K$2:$K$176,MATCH(B93,'Long_TCAD'!$A$2:$A$176,0))),"")</x:f>
        <x:v>1.479e-15</x:v>
      </x:c>
      <x:c r="AC93" s="95" t="n">
        <x:f>IF(OR(NOT(ISNUMBER(AA93)),NOT(ISNUMBER(AB93))),"",AA93/AB93)</x:f>
        <x:v>202704530087.89725</x:v>
      </x:c>
      <x:c r="AD93" s="93" t="n">
        <x:f>IF(NOT(ISNUMBER(Y93)),"",ABS(Y93-T93)*1000)</x:f>
        <x:v>27.029999999999333</x:v>
      </x:c>
      <x:c r="AE93" s="93" t="n">
        <x:f>IF(NOT(ISNUMBER(Z93)),"",ABS(Z93-U93))</x:f>
        <x:v>0.9393817255970021</x:v>
      </x:c>
      <x:c r="AF93" s="93" t="n">
        <x:f>IF(NOT(ISNUMBER(AA93)),"",ABS(LOG10(AA93)-LOG10(V93)))</x:f>
        <x:v>0.023932770047809804</x:v>
      </x:c>
      <x:c r="AG93" s="93" t="n">
        <x:f>IF(NOT(ISNUMBER(AB93)),"",ABS(LOG10(AB93)-LOG10(W93)))</x:f>
        <x:v>0.4057826990833995</x:v>
      </x:c>
      <x:c r="AH93" s="93" t="n">
        <x:f>IF(NOT(ISNUMBER(AC93)),"",ABS(LOG10(AC93)-LOG10(X93)))</x:f>
        <x:v>0.3818499290356012</x:v>
      </x:c>
      <x:c r="AI93" s="85" t="str">
        <x:f>IF(OR(NOT(ISNUMBER(Y93)),NOT(ISNUMBER(Z93)),NOT(ISNUMBER(AA93)),NOT(ISNUMBER(AB93))),"",IF(AND(Y93&gt;=0.3,Y93&lt;=1.2,Z93&lt;=200,AA93&gt;=1E-4,AB93&lt;=1E-6),"PASS","FAIL"))</x:f>
        <x:v>PASS</x:v>
      </x:c>
      <x:c r="AJ93" s="85" t="str"/>
    </x:row>
    <x:row r="94">
      <x:c r="A94" s="85" t="str">
        <x:v>L0360-43</x:v>
      </x:c>
      <x:c r="B94" s="85" t="str">
        <x:v>LR086</x:v>
      </x:c>
      <x:c r="C94" s="93" t="n">
        <x:v>0.36</x:v>
      </x:c>
      <x:c r="D94" s="93" t="str">
        <x:v>Practical</x:v>
      </x:c>
      <x:c r="E94" s="93" t="n">
        <x:v>1</x:v>
      </x:c>
      <x:c r="F94" s="94" t="n">
        <x:v>328070</x:v>
      </x:c>
      <x:c r="G94" s="93" t="n">
        <x:v>0.8340472983403969</x:v>
      </x:c>
      <x:c r="H94" s="93" t="n">
        <x:v>83.414</x:v>
      </x:c>
      <x:c r="I94" s="95" t="n">
        <x:v>0.00026780654773951037</x:v>
      </x:c>
      <x:c r="J94" s="95" t="n">
        <x:v>4.915174104109432e-16</x:v>
      </x:c>
      <x:c r="K94" s="95" t="n">
        <x:v>544856686796.9239</x:v>
      </x:c>
      <x:c r="L94" s="95" t="n">
        <x:v>51893638209838.72</x:v>
      </x:c>
      <x:c r="M94" s="95" t="n">
        <x:v>14.452610150322363</x:v>
      </x:c>
      <x:c r="N94" s="95" t="n">
        <x:v>27182805798131324</x:v>
      </x:c>
      <x:c r="O94" s="95" t="n">
        <x:v>26.12198265689038</x:v>
      </x:c>
      <x:c r="P94" s="93"/>
      <x:c r="Q94" s="95"/>
      <x:c r="R94" s="95"/>
      <x:c r="S94" s="97" t="n">
        <x:v>1</x:v>
      </x:c>
      <x:c r="T94" s="93" t="n">
        <x:v>0.8303733333333352</x:v>
      </x:c>
      <x:c r="U94" s="98" t="n">
        <x:v>84.18902717693295</x:v>
      </x:c>
      <x:c r="V94" s="95" t="n">
        <x:v>0.00027053448518543627</x:v>
      </x:c>
      <x:c r="W94" s="95" t="n">
        <x:v>4.898277770270086e-16</x:v>
      </x:c>
      <x:c r="X94" s="95" t="n">
        <x:v>552305316018.2855</x:v>
      </x:c>
      <x:c r="Y94" s="99" t="n">
        <x:f>IFERROR(IF(ISBLANK(INDEX('Long_TCAD'!$H$2:$H$176,MATCH(B94,'Long_TCAD'!$A$2:$A$176,0))),"",INDEX('Long_TCAD'!$H$2:$H$176,MATCH(B94,'Long_TCAD'!$A$2:$A$176,0))),"")</x:f>
        <x:v>0.83</x:v>
      </x:c>
      <x:c r="Z94" s="100" t="n">
        <x:f>IFERROR(IF(ISBLANK(INDEX('Long_TCAD'!$I$2:$I$176,MATCH(B94,'Long_TCAD'!$A$2:$A$176,0))),"",INDEX('Long_TCAD'!$I$2:$I$176,MATCH(B94,'Long_TCAD'!$A$2:$A$176,0))),"")</x:f>
        <x:v>84.212</x:v>
      </x:c>
      <x:c r="AA94" s="96" t="n">
        <x:f>IFERROR(IF(ISBLANK(INDEX('Long_TCAD'!$J$2:$J$176,MATCH(B94,'Long_TCAD'!$A$2:$A$176,0))),"",INDEX('Long_TCAD'!$J$2:$J$176,MATCH(B94,'Long_TCAD'!$A$2:$A$176,0))),"")</x:f>
        <x:v>0.0002744</x:v>
      </x:c>
      <x:c r="AB94" s="96" t="n">
        <x:f>IFERROR(IF(ISBLANK(INDEX('Long_TCAD'!$K$2:$K$176,MATCH(B94,'Long_TCAD'!$A$2:$A$176,0))),"",INDEX('Long_TCAD'!$K$2:$K$176,MATCH(B94,'Long_TCAD'!$A$2:$A$176,0))),"")</x:f>
        <x:v>5.172e-16</x:v>
      </x:c>
      <x:c r="AC94" s="95" t="n">
        <x:f>IF(OR(NOT(ISNUMBER(AA94)),NOT(ISNUMBER(AB94))),"",AA94/AB94)</x:f>
        <x:v>530549110595.5143</x:v>
      </x:c>
      <x:c r="AD94" s="93" t="n">
        <x:f>IF(NOT(ISNUMBER(Y94)),"",ABS(Y94-T94)*1000)</x:f>
        <x:v>0.373333333335224</x:v>
      </x:c>
      <x:c r="AE94" s="93" t="n">
        <x:f>IF(NOT(ISNUMBER(Z94)),"",ABS(Z94-U94))</x:f>
        <x:v>0.022972823067050285</x:v>
      </x:c>
      <x:c r="AF94" s="93" t="n">
        <x:f>IF(NOT(ISNUMBER(AA94)),"",ABS(LOG10(AA94)-LOG10(V94)))</x:f>
        <x:v>0.006161474297639913</x:v>
      </x:c>
      <x:c r="AG94" s="93" t="n">
        <x:f>IF(NOT(ISNUMBER(AB94)),"",ABS(LOG10(AB94)-LOG10(W94)))</x:f>
        <x:v>0.02361510686209911</x:v>
      </x:c>
      <x:c r="AH94" s="93" t="n">
        <x:f>IF(NOT(ISNUMBER(AC94)),"",ABS(LOG10(AC94)-LOG10(X94)))</x:f>
        <x:v>0.017453632564398802</x:v>
      </x:c>
      <x:c r="AI94" s="85" t="str">
        <x:f>IF(OR(NOT(ISNUMBER(Y94)),NOT(ISNUMBER(Z94)),NOT(ISNUMBER(AA94)),NOT(ISNUMBER(AB94))),"",IF(AND(Y94&gt;=0.3,Y94&lt;=1.2,Z94&lt;=200,AA94&gt;=1E-4,AB94&lt;=1E-6),"PASS","FAIL"))</x:f>
        <x:v>PASS</x:v>
      </x:c>
      <x:c r="AJ94" s="85" t="str"/>
    </x:row>
    <x:row r="95">
      <x:c r="A95" s="85" t="str">
        <x:v>L0360-44</x:v>
      </x:c>
      <x:c r="B95" s="85" t="str">
        <x:v>LR087</x:v>
      </x:c>
      <x:c r="C95" s="93" t="n">
        <x:v>0.36</x:v>
      </x:c>
      <x:c r="D95" s="93" t="str">
        <x:v>Practical</x:v>
      </x:c>
      <x:c r="E95" s="93" t="n">
        <x:v>1</x:v>
      </x:c>
      <x:c r="F95" s="94" t="n">
        <x:v>308385</x:v>
      </x:c>
      <x:c r="G95" s="93" t="n">
        <x:v>0.8525583065425748</x:v>
      </x:c>
      <x:c r="H95" s="93" t="n">
        <x:v>85.34857167670843</x:v>
      </x:c>
      <x:c r="I95" s="95" t="n">
        <x:v>0.00024796537843491947</x:v>
      </x:c>
      <x:c r="J95" s="95" t="n">
        <x:v>4.325439274084732e-16</x:v>
      </x:c>
      <x:c r="K95" s="95" t="n">
        <x:v>573272129655.292</x:v>
      </x:c>
      <x:c r="L95" s="95" t="n">
        <x:v>53565503355458.42</x:v>
      </x:c>
      <x:c r="M95" s="95" t="n">
        <x:v>15.424203635936449</x:v>
      </x:c>
      <x:c r="N95" s="95" t="n">
        <x:v>5054835394011966</x:v>
      </x:c>
      <x:c r="O95" s="95" t="n">
        <x:v>31.84027009174048</x:v>
      </x:c>
      <x:c r="P95" s="93"/>
      <x:c r="Q95" s="95"/>
      <x:c r="R95" s="95"/>
      <x:c r="S95" s="97" t="n">
        <x:v>1</x:v>
      </x:c>
      <x:c r="T95" s="93" t="n">
        <x:v>0.8415433333333342</x:v>
      </x:c>
      <x:c r="U95" s="98" t="n">
        <x:v>85.00928441501291</x:v>
      </x:c>
      <x:c r="V95" s="95" t="n">
        <x:v>0.0002547974740518957</x:v>
      </x:c>
      <x:c r="W95" s="95" t="n">
        <x:v>4.294359299713778e-16</x:v>
      </x:c>
      <x:c r="X95" s="95" t="n">
        <x:v>593330590826.1522</x:v>
      </x:c>
      <x:c r="Y95" s="99" t="n">
        <x:f>IFERROR(IF(ISBLANK(INDEX('Long_TCAD'!$H$2:$H$176,MATCH(B95,'Long_TCAD'!$A$2:$A$176,0))),"",INDEX('Long_TCAD'!$H$2:$H$176,MATCH(B95,'Long_TCAD'!$A$2:$A$176,0))),"")</x:f>
        <x:v>0.837</x:v>
      </x:c>
      <x:c r="Z95" s="100" t="n">
        <x:f>IFERROR(IF(ISBLANK(INDEX('Long_TCAD'!$I$2:$I$176,MATCH(B95,'Long_TCAD'!$A$2:$A$176,0))),"",INDEX('Long_TCAD'!$I$2:$I$176,MATCH(B95,'Long_TCAD'!$A$2:$A$176,0))),"")</x:f>
        <x:v>84.614</x:v>
      </x:c>
      <x:c r="AA95" s="96" t="n">
        <x:f>IFERROR(IF(ISBLANK(INDEX('Long_TCAD'!$J$2:$J$176,MATCH(B95,'Long_TCAD'!$A$2:$A$176,0))),"",INDEX('Long_TCAD'!$J$2:$J$176,MATCH(B95,'Long_TCAD'!$A$2:$A$176,0))),"")</x:f>
        <x:v>0.0002677</x:v>
      </x:c>
      <x:c r="AB95" s="96" t="n">
        <x:f>IFERROR(IF(ISBLANK(INDEX('Long_TCAD'!$K$2:$K$176,MATCH(B95,'Long_TCAD'!$A$2:$A$176,0))),"",INDEX('Long_TCAD'!$K$2:$K$176,MATCH(B95,'Long_TCAD'!$A$2:$A$176,0))),"")</x:f>
        <x:v>4.818e-16</x:v>
      </x:c>
      <x:c r="AC95" s="95" t="n">
        <x:f>IF(OR(NOT(ISNUMBER(AA95)),NOT(ISNUMBER(AB95))),"",AA95/AB95)</x:f>
        <x:v>555624740556.2474</x:v>
      </x:c>
      <x:c r="AD95" s="93" t="n">
        <x:f>IF(NOT(ISNUMBER(Y95)),"",ABS(Y95-T95)*1000)</x:f>
        <x:v>4.543333333334232</x:v>
      </x:c>
      <x:c r="AE95" s="93" t="n">
        <x:f>IF(NOT(ISNUMBER(Z95)),"",ABS(Z95-U95))</x:f>
        <x:v>0.39528441501290956</x:v>
      </x:c>
      <x:c r="AF95" s="93" t="n">
        <x:f>IF(NOT(ISNUMBER(AA95)),"",ABS(LOG10(AA95)-LOG10(V95)))</x:f>
        <x:v>0.021453252903369968</x:v>
      </x:c>
      <x:c r="AG95" s="93" t="n">
        <x:f>IF(NOT(ISNUMBER(AB95)),"",ABS(LOG10(AB95)-LOG10(W95)))</x:f>
        <x:v>0.049968417565999346</x:v>
      </x:c>
      <x:c r="AH95" s="93" t="n">
        <x:f>IF(NOT(ISNUMBER(AC95)),"",ABS(LOG10(AC95)-LOG10(X95)))</x:f>
        <x:v>0.028515164662699988</x:v>
      </x:c>
      <x:c r="AI95" s="85" t="str">
        <x:f>IF(OR(NOT(ISNUMBER(Y95)),NOT(ISNUMBER(Z95)),NOT(ISNUMBER(AA95)),NOT(ISNUMBER(AB95))),"",IF(AND(Y95&gt;=0.3,Y95&lt;=1.2,Z95&lt;=200,AA95&gt;=1E-4,AB95&lt;=1E-6),"PASS","FAIL"))</x:f>
        <x:v>PASS</x:v>
      </x:c>
      <x:c r="AJ95" s="85" t="str"/>
    </x:row>
    <x:row r="96">
      <x:c r="A96" s="85" t="str">
        <x:v>L0360-45</x:v>
      </x:c>
      <x:c r="B96" s="85" t="str">
        <x:v>LR088</x:v>
      </x:c>
      <x:c r="C96" s="93" t="n">
        <x:v>0.36</x:v>
      </x:c>
      <x:c r="D96" s="93" t="str">
        <x:v>Practical</x:v>
      </x:c>
      <x:c r="E96" s="93" t="n">
        <x:v>1</x:v>
      </x:c>
      <x:c r="F96" s="94" t="n">
        <x:v>307335</x:v>
      </x:c>
      <x:c r="G96" s="93" t="n">
        <x:v>0.8457033629843019</x:v>
      </x:c>
      <x:c r="H96" s="93" t="n">
        <x:v>85.903</x:v>
      </x:c>
      <x:c r="I96" s="95" t="n">
        <x:v>0.000263501501247199</x:v>
      </x:c>
      <x:c r="J96" s="95" t="n">
        <x:v>4.1680972363269053e-16</x:v>
      </x:c>
      <x:c r="K96" s="95" t="n">
        <x:v>632186550137.7004</x:v>
      </x:c>
      <x:c r="L96" s="95" t="n">
        <x:v>64045320111607.76</x:v>
      </x:c>
      <x:c r="M96" s="95" t="n">
        <x:v>15.43690588032787</x:v>
      </x:c>
      <x:c r="N96" s="95" t="n">
        <x:v>943451759540990.9</x:v>
      </x:c>
      <x:c r="O96" s="95" t="n">
        <x:v>30.348645287013124</x:v>
      </x:c>
      <x:c r="P96" s="93"/>
      <x:c r="Q96" s="95"/>
      <x:c r="R96" s="95"/>
      <x:c r="S96" s="97" t="n">
        <x:v>1</x:v>
      </x:c>
      <x:c r="T96" s="93" t="n">
        <x:v>0.8432666666666645</x:v>
      </x:c>
      <x:c r="U96" s="98" t="n">
        <x:v>85.06485513905267</x:v>
      </x:c>
      <x:c r="V96" s="95" t="n">
        <x:v>0.00026297117843234537</x:v>
      </x:c>
      <x:c r="W96" s="95" t="n">
        <x:v>4.2101128377267716e-16</x:v>
      </x:c>
      <x:c r="X96" s="95" t="n">
        <x:v>624617886902.8491</x:v>
      </x:c>
      <x:c r="Y96" s="99" t="n">
        <x:f>IFERROR(IF(ISBLANK(INDEX('Long_TCAD'!$H$2:$H$176,MATCH(B96,'Long_TCAD'!$A$2:$A$176,0))),"",INDEX('Long_TCAD'!$H$2:$H$176,MATCH(B96,'Long_TCAD'!$A$2:$A$176,0))),"")</x:f>
        <x:v>0.847</x:v>
      </x:c>
      <x:c r="Z96" s="100" t="n">
        <x:f>IFERROR(IF(ISBLANK(INDEX('Long_TCAD'!$I$2:$I$176,MATCH(B96,'Long_TCAD'!$A$2:$A$176,0))),"",INDEX('Long_TCAD'!$I$2:$I$176,MATCH(B96,'Long_TCAD'!$A$2:$A$176,0))),"")</x:f>
        <x:v>85.187</x:v>
      </x:c>
      <x:c r="AA96" s="96" t="n">
        <x:f>IFERROR(IF(ISBLANK(INDEX('Long_TCAD'!$J$2:$J$176,MATCH(B96,'Long_TCAD'!$A$2:$A$176,0))),"",INDEX('Long_TCAD'!$J$2:$J$176,MATCH(B96,'Long_TCAD'!$A$2:$A$176,0))),"")</x:f>
        <x:v>0.0002595</x:v>
      </x:c>
      <x:c r="AB96" s="96" t="n">
        <x:f>IFERROR(IF(ISBLANK(INDEX('Long_TCAD'!$K$2:$K$176,MATCH(B96,'Long_TCAD'!$A$2:$A$176,0))),"",INDEX('Long_TCAD'!$K$2:$K$176,MATCH(B96,'Long_TCAD'!$A$2:$A$176,0))),"")</x:f>
        <x:v>3.992e-16</x:v>
      </x:c>
      <x:c r="AC96" s="95" t="n">
        <x:f>IF(OR(NOT(ISNUMBER(AA96)),NOT(ISNUMBER(AB96))),"",AA96/AB96)</x:f>
        <x:v>650050100200.4009</x:v>
      </x:c>
      <x:c r="AD96" s="93" t="n">
        <x:f>IF(NOT(ISNUMBER(Y96)),"",ABS(Y96-T96)*1000)</x:f>
        <x:v>3.7333333333354757</x:v>
      </x:c>
      <x:c r="AE96" s="93" t="n">
        <x:f>IF(NOT(ISNUMBER(Z96)),"",ABS(Z96-U96))</x:f>
        <x:v>0.1221448609473299</x:v>
      </x:c>
      <x:c r="AF96" s="93" t="n">
        <x:f>IF(NOT(ISNUMBER(AA96)),"",ABS(LOG10(AA96)-LOG10(V96)))</x:f>
        <x:v>0.005770790359650224</x:v>
      </x:c>
      <x:c r="AG96" s="93" t="n">
        <x:f>IF(NOT(ISNUMBER(AB96)),"",ABS(LOG10(AB96)-LOG10(W96)))</x:f>
        <x:v>0.023103203159900332</x:v>
      </x:c>
      <x:c r="AH96" s="93" t="n">
        <x:f>IF(NOT(ISNUMBER(AC96)),"",ABS(LOG10(AC96)-LOG10(X96)))</x:f>
        <x:v>0.017332412800199037</x:v>
      </x:c>
      <x:c r="AI96" s="85" t="str">
        <x:f>IF(OR(NOT(ISNUMBER(Y96)),NOT(ISNUMBER(Z96)),NOT(ISNUMBER(AA96)),NOT(ISNUMBER(AB96))),"",IF(AND(Y96&gt;=0.3,Y96&lt;=1.2,Z96&lt;=200,AA96&gt;=1E-4,AB96&lt;=1E-6),"PASS","FAIL"))</x:f>
        <x:v>PASS</x:v>
      </x:c>
      <x:c r="AJ96" s="85" t="str"/>
    </x:row>
    <x:row r="97">
      <x:c r="A97" s="85" t="str">
        <x:v>L0360-46</x:v>
      </x:c>
      <x:c r="B97" s="85" t="str">
        <x:v>LR089</x:v>
      </x:c>
      <x:c r="C97" s="93" t="n">
        <x:v>0.36</x:v>
      </x:c>
      <x:c r="D97" s="93" t="str">
        <x:v>Practical</x:v>
      </x:c>
      <x:c r="E97" s="93" t="n">
        <x:v>1</x:v>
      </x:c>
      <x:c r="F97" s="94" t="n">
        <x:v>324292</x:v>
      </x:c>
      <x:c r="G97" s="93" t="n">
        <x:v>0.8122782893974628</x:v>
      </x:c>
      <x:c r="H97" s="93" t="n">
        <x:v>83.414</x:v>
      </x:c>
      <x:c r="I97" s="95" t="n">
        <x:v>0.00023845846981428102</x:v>
      </x:c>
      <x:c r="J97" s="95" t="n">
        <x:v>5.21654667292271e-16</x:v>
      </x:c>
      <x:c r="K97" s="95" t="n">
        <x:v>457119402481.4088</x:v>
      </x:c>
      <x:c r="L97" s="95" t="n">
        <x:v>50807313152543.36</x:v>
      </x:c>
      <x:c r="M97" s="95" t="n">
        <x:v>37.478289846742655</x:v>
      </x:c>
      <x:c r="N97" s="95" t="n">
        <x:v>105095074628151.33</x:v>
      </x:c>
      <x:c r="O97" s="95" t="n">
        <x:v>37.46719211528278</x:v>
      </x:c>
      <x:c r="P97" s="93"/>
      <x:c r="Q97" s="95"/>
      <x:c r="R97" s="95"/>
      <x:c r="S97" s="97" t="n">
        <x:v>0.9933333333333333</x:v>
      </x:c>
      <x:c r="T97" s="93" t="n">
        <x:v>0.8218766666666633</x:v>
      </x:c>
      <x:c r="U97" s="98" t="n">
        <x:v>84.76726274675188</x:v>
      </x:c>
      <x:c r="V97" s="95" t="n">
        <x:v>0.00024368151547799328</x:v>
      </x:c>
      <x:c r="W97" s="95" t="n">
        <x:v>5.121484940681657e-16</x:v>
      </x:c>
      <x:c r="X97" s="95" t="n">
        <x:v>475802464129.7879</x:v>
      </x:c>
      <x:c r="Y97" s="99" t="n">
        <x:f>IFERROR(IF(ISBLANK(INDEX('Long_TCAD'!$H$2:$H$176,MATCH(B97,'Long_TCAD'!$A$2:$A$176,0))),"",INDEX('Long_TCAD'!$H$2:$H$176,MATCH(B97,'Long_TCAD'!$A$2:$A$176,0))),"")</x:f>
        <x:v>0.826</x:v>
      </x:c>
      <x:c r="Z97" s="100" t="n">
        <x:f>IFERROR(IF(ISBLANK(INDEX('Long_TCAD'!$I$2:$I$176,MATCH(B97,'Long_TCAD'!$A$2:$A$176,0))),"",INDEX('Long_TCAD'!$I$2:$I$176,MATCH(B97,'Long_TCAD'!$A$2:$A$176,0))),"")</x:f>
        <x:v>84.698</x:v>
      </x:c>
      <x:c r="AA97" s="96" t="n">
        <x:f>IFERROR(IF(ISBLANK(INDEX('Long_TCAD'!$J$2:$J$176,MATCH(B97,'Long_TCAD'!$A$2:$A$176,0))),"",INDEX('Long_TCAD'!$J$2:$J$176,MATCH(B97,'Long_TCAD'!$A$2:$A$176,0))),"")</x:f>
        <x:v>0.0002575</x:v>
      </x:c>
      <x:c r="AB97" s="96" t="n">
        <x:f>IFERROR(IF(ISBLANK(INDEX('Long_TCAD'!$K$2:$K$176,MATCH(B97,'Long_TCAD'!$A$2:$A$176,0))),"",INDEX('Long_TCAD'!$K$2:$K$176,MATCH(B97,'Long_TCAD'!$A$2:$A$176,0))),"")</x:f>
        <x:v>5.388e-16</x:v>
      </x:c>
      <x:c r="AC97" s="95" t="n">
        <x:f>IF(OR(NOT(ISNUMBER(AA97)),NOT(ISNUMBER(AB97))),"",AA97/AB97)</x:f>
        <x:v>477913882702.30145</x:v>
      </x:c>
      <x:c r="AD97" s="93" t="n">
        <x:f>IF(NOT(ISNUMBER(Y97)),"",ABS(Y97-T97)*1000)</x:f>
        <x:v>4.123333333336698</x:v>
      </x:c>
      <x:c r="AE97" s="93" t="n">
        <x:f>IF(NOT(ISNUMBER(Z97)),"",ABS(Z97-U97))</x:f>
        <x:v>0.06926274675188893</x:v>
      </x:c>
      <x:c r="AF97" s="93" t="n">
        <x:f>IF(NOT(ISNUMBER(AA97)),"",ABS(LOG10(AA97)-LOG10(V97)))</x:f>
        <x:v>0.023954646459099838</x:v>
      </x:c>
      <x:c r="AG97" s="93" t="n">
        <x:f>IF(NOT(ISNUMBER(AB97)),"",ABS(LOG10(AB97)-LOG10(W97)))</x:f>
        <x:v>0.022031687004300693</x:v>
      </x:c>
      <x:c r="AH97" s="93" t="n">
        <x:f>IF(NOT(ISNUMBER(AC97)),"",ABS(LOG10(AC97)-LOG10(X97)))</x:f>
        <x:v>0.0019229594547987006</x:v>
      </x:c>
      <x:c r="AI97" s="85" t="str">
        <x:f>IF(OR(NOT(ISNUMBER(Y97)),NOT(ISNUMBER(Z97)),NOT(ISNUMBER(AA97)),NOT(ISNUMBER(AB97))),"",IF(AND(Y97&gt;=0.3,Y97&lt;=1.2,Z97&lt;=200,AA97&gt;=1E-4,AB97&lt;=1E-6),"PASS","FAIL"))</x:f>
        <x:v>PASS</x:v>
      </x:c>
      <x:c r="AJ97" s="85" t="str"/>
    </x:row>
    <x:row r="98">
      <x:c r="A98" s="85" t="str">
        <x:v>L0360-47</x:v>
      </x:c>
      <x:c r="B98" s="85" t="str">
        <x:v>LR090</x:v>
      </x:c>
      <x:c r="C98" s="93" t="n">
        <x:v>0.36</x:v>
      </x:c>
      <x:c r="D98" s="93" t="str">
        <x:v>Practical</x:v>
      </x:c>
      <x:c r="E98" s="93" t="n">
        <x:v>1</x:v>
      </x:c>
      <x:c r="F98" s="94" t="n">
        <x:v>301191</x:v>
      </x:c>
      <x:c r="G98" s="93" t="n">
        <x:v>0.8440840869221873</x:v>
      </x:c>
      <x:c r="H98" s="93" t="n">
        <x:v>85.903</x:v>
      </x:c>
      <x:c r="I98" s="95" t="n">
        <x:v>0.00030221278234475056</x:v>
      </x:c>
      <x:c r="J98" s="95" t="n">
        <x:v>4.0708130295579847e-16</x:v>
      </x:c>
      <x:c r="K98" s="95" t="n">
        <x:v>742389247922.7063</x:v>
      </x:c>
      <x:c r="L98" s="95" t="n">
        <x:v>551264432043018.44</x:v>
      </x:c>
      <x:c r="M98" s="95" t="n">
        <x:v>23.688940064048676</x:v>
      </x:c>
      <x:c r="N98" s="95" t="n">
        <x:v>4748037818373117</x:v>
      </x:c>
      <x:c r="O98" s="95" t="n">
        <x:v>23.674127679404773</x:v>
      </x:c>
      <x:c r="P98" s="93"/>
      <x:c r="Q98" s="95"/>
      <x:c r="R98" s="95"/>
      <x:c r="S98" s="97" t="n">
        <x:v>0.9366666666666666</x:v>
      </x:c>
      <x:c r="T98" s="93" t="n">
        <x:v>0.8454833333333341</x:v>
      </x:c>
      <x:c r="U98" s="98" t="n">
        <x:v>85.31068424085032</x:v>
      </x:c>
      <x:c r="V98" s="95" t="n">
        <x:v>0.00027132935161492956</x:v>
      </x:c>
      <x:c r="W98" s="95" t="n">
        <x:v>4.2142274539569253e-16</x:v>
      </x:c>
      <x:c r="X98" s="95" t="n">
        <x:v>643841260537.9579</x:v>
      </x:c>
      <x:c r="Y98" s="99" t="n">
        <x:f>IFERROR(IF(ISBLANK(INDEX('Long_TCAD'!$H$2:$H$176,MATCH(B98,'Long_TCAD'!$A$2:$A$176,0))),"",INDEX('Long_TCAD'!$H$2:$H$176,MATCH(B98,'Long_TCAD'!$A$2:$A$176,0))),"")</x:f>
        <x:v>0.84</x:v>
      </x:c>
      <x:c r="Z98" s="100" t="n">
        <x:f>IFERROR(IF(ISBLANK(INDEX('Long_TCAD'!$I$2:$I$176,MATCH(B98,'Long_TCAD'!$A$2:$A$176,0))),"",INDEX('Long_TCAD'!$I$2:$I$176,MATCH(B98,'Long_TCAD'!$A$2:$A$176,0))),"")</x:f>
        <x:v>84.967</x:v>
      </x:c>
      <x:c r="AA98" s="96" t="n">
        <x:f>IFERROR(IF(ISBLANK(INDEX('Long_TCAD'!$J$2:$J$176,MATCH(B98,'Long_TCAD'!$A$2:$A$176,0))),"",INDEX('Long_TCAD'!$J$2:$J$176,MATCH(B98,'Long_TCAD'!$A$2:$A$176,0))),"")</x:f>
        <x:v>0.0002748</x:v>
      </x:c>
      <x:c r="AB98" s="96" t="n">
        <x:f>IFERROR(IF(ISBLANK(INDEX('Long_TCAD'!$K$2:$K$176,MATCH(B98,'Long_TCAD'!$A$2:$A$176,0))),"",INDEX('Long_TCAD'!$K$2:$K$176,MATCH(B98,'Long_TCAD'!$A$2:$A$176,0))),"")</x:f>
        <x:v>5.031e-16</x:v>
      </x:c>
      <x:c r="AC98" s="95" t="n">
        <x:f>IF(OR(NOT(ISNUMBER(AA98)),NOT(ISNUMBER(AB98))),"",AA98/AB98)</x:f>
        <x:v>546213476446.03455</x:v>
      </x:c>
      <x:c r="AD98" s="93" t="n">
        <x:f>IF(NOT(ISNUMBER(Y98)),"",ABS(Y98-T98)*1000)</x:f>
        <x:v>5.483333333334173</x:v>
      </x:c>
      <x:c r="AE98" s="93" t="n">
        <x:f>IF(NOT(ISNUMBER(Z98)),"",ABS(Z98-U98))</x:f>
        <x:v>0.34368424085032245</x:v>
      </x:c>
      <x:c r="AF98" s="93" t="n">
        <x:f>IF(NOT(ISNUMBER(AA98)),"",ABS(LOG10(AA98)-LOG10(V98)))</x:f>
        <x:v>0.0055199513789800925</x:v>
      </x:c>
      <x:c r="AG98" s="93" t="n">
        <x:f>IF(NOT(ISNUMBER(AB98)),"",ABS(LOG10(AB98)-LOG10(W98)))</x:f>
        <x:v>0.0769363453007994</x:v>
      </x:c>
      <x:c r="AH98" s="93" t="n">
        <x:f>IF(NOT(ISNUMBER(AC98)),"",ABS(LOG10(AC98)-LOG10(X98)))</x:f>
        <x:v>0.07141639392179933</x:v>
      </x:c>
      <x:c r="AI98" s="85" t="str">
        <x:f>IF(OR(NOT(ISNUMBER(Y98)),NOT(ISNUMBER(Z98)),NOT(ISNUMBER(AA98)),NOT(ISNUMBER(AB98))),"",IF(AND(Y98&gt;=0.3,Y98&lt;=1.2,Z98&lt;=200,AA98&gt;=1E-4,AB98&lt;=1E-6),"PASS","FAIL"))</x:f>
        <x:v>PASS</x:v>
      </x:c>
      <x:c r="AJ98" s="85" t="str"/>
    </x:row>
    <x:row r="99">
      <x:c r="A99" s="85" t="str">
        <x:v>L0360-48</x:v>
      </x:c>
      <x:c r="B99" s="85" t="str">
        <x:v>LR060</x:v>
      </x:c>
      <x:c r="C99" s="93" t="n">
        <x:v>0.36</x:v>
      </x:c>
      <x:c r="D99" s="93" t="str">
        <x:v>Practical</x:v>
      </x:c>
      <x:c r="E99" s="93" t="n">
        <x:v>1</x:v>
      </x:c>
      <x:c r="F99" s="94" t="n">
        <x:v>305535</x:v>
      </x:c>
      <x:c r="G99" s="93" t="n">
        <x:v>0.844864536493346</x:v>
      </x:c>
      <x:c r="H99" s="93" t="n">
        <x:v>85.903</x:v>
      </x:c>
      <x:c r="I99" s="95" t="n">
        <x:v>0.00020818440470388996</x:v>
      </x:c>
      <x:c r="J99" s="95" t="n">
        <x:v>3.761261529768888e-16</x:v>
      </x:c>
      <x:c r="K99" s="95" t="n">
        <x:v>553496222095.1488</x:v>
      </x:c>
      <x:c r="L99" s="95" t="n">
        <x:v>52562152816329.49</x:v>
      </x:c>
      <x:c r="M99" s="95" t="n">
        <x:v>13.952903692954258</x:v>
      </x:c>
      <x:c r="N99" s="95" t="n">
        <x:v>374433061461007.4</x:v>
      </x:c>
      <x:c r="O99" s="95" t="n">
        <x:v>25.117708874065723</x:v>
      </x:c>
      <x:c r="P99" s="93"/>
      <x:c r="Q99" s="95"/>
      <x:c r="R99" s="95"/>
      <x:c r="S99" s="97" t="n">
        <x:v>1</x:v>
      </x:c>
      <x:c r="T99" s="93" t="n">
        <x:v>0.8439733333333336</x:v>
      </x:c>
      <x:c r="U99" s="98" t="n">
        <x:v>85.64046357590576</x:v>
      </x:c>
      <x:c r="V99" s="95" t="n">
        <x:v>0.00023138838775919657</x:v>
      </x:c>
      <x:c r="W99" s="95" t="n">
        <x:v>3.749334456290694e-16</x:v>
      </x:c>
      <x:c r="X99" s="95" t="n">
        <x:v>617145230591.4437</x:v>
      </x:c>
      <x:c r="Y99" s="99" t="n">
        <x:f>IFERROR(IF(ISBLANK(INDEX('Long_TCAD'!$H$2:$H$176,MATCH(B99,'Long_TCAD'!$A$2:$A$176,0))),"",INDEX('Long_TCAD'!$H$2:$H$176,MATCH(B99,'Long_TCAD'!$A$2:$A$176,0))),"")</x:f>
        <x:v>0.849</x:v>
      </x:c>
      <x:c r="Z99" s="100" t="n">
        <x:f>IFERROR(IF(ISBLANK(INDEX('Long_TCAD'!$I$2:$I$176,MATCH(B99,'Long_TCAD'!$A$2:$A$176,0))),"",INDEX('Long_TCAD'!$I$2:$I$176,MATCH(B99,'Long_TCAD'!$A$2:$A$176,0))),"")</x:f>
        <x:v>85.428</x:v>
      </x:c>
      <x:c r="AA99" s="96" t="n">
        <x:f>IFERROR(IF(ISBLANK(INDEX('Long_TCAD'!$J$2:$J$176,MATCH(B99,'Long_TCAD'!$A$2:$A$176,0))),"",INDEX('Long_TCAD'!$J$2:$J$176,MATCH(B99,'Long_TCAD'!$A$2:$A$176,0))),"")</x:f>
        <x:v>0.0002523</x:v>
      </x:c>
      <x:c r="AB99" s="96" t="n">
        <x:f>IFERROR(IF(ISBLANK(INDEX('Long_TCAD'!$K$2:$K$176,MATCH(B99,'Long_TCAD'!$A$2:$A$176,0))),"",INDEX('Long_TCAD'!$K$2:$K$176,MATCH(B99,'Long_TCAD'!$A$2:$A$176,0))),"")</x:f>
        <x:v>3.671e-16</x:v>
      </x:c>
      <x:c r="AC99" s="95" t="n">
        <x:f>IF(OR(NOT(ISNUMBER(AA99)),NOT(ISNUMBER(AB99))),"",AA99/AB99)</x:f>
        <x:v>687278670661.9451</x:v>
      </x:c>
      <x:c r="AD99" s="93" t="n">
        <x:f>IF(NOT(ISNUMBER(Y99)),"",ABS(Y99-T99)*1000)</x:f>
        <x:v>5.026666666666402</x:v>
      </x:c>
      <x:c r="AE99" s="93" t="n">
        <x:f>IF(NOT(ISNUMBER(Z99)),"",ABS(Z99-U99))</x:f>
        <x:v>0.21246357590575826</x:v>
      </x:c>
      <x:c r="AF99" s="93" t="n">
        <x:f>IF(NOT(ISNUMBER(AA99)),"",ABS(LOG10(AA99)-LOG10(V99)))</x:f>
        <x:v>0.037575690450869725</x:v>
      </x:c>
      <x:c r="AG99" s="93" t="n">
        <x:f>IF(NOT(ISNUMBER(AB99)),"",ABS(LOG10(AB99)-LOG10(W99)))</x:f>
        <x:v>0.00916979852700095</x:v>
      </x:c>
      <x:c r="AH99" s="93" t="n">
        <x:f>IF(NOT(ISNUMBER(AC99)),"",ABS(LOG10(AC99)-LOG10(X99)))</x:f>
        <x:v>0.04674548897790132</x:v>
      </x:c>
      <x:c r="AI99" s="85" t="str">
        <x:f>IF(OR(NOT(ISNUMBER(Y99)),NOT(ISNUMBER(Z99)),NOT(ISNUMBER(AA99)),NOT(ISNUMBER(AB99))),"",IF(AND(Y99&gt;=0.3,Y99&lt;=1.2,Z99&lt;=200,AA99&gt;=1E-4,AB99&lt;=1E-6),"PASS","FAIL"))</x:f>
        <x:v>PASS</x:v>
      </x:c>
      <x:c r="AJ99" s="85" t="str"/>
    </x:row>
    <x:row r="100">
      <x:c r="A100" s="85" t="str">
        <x:v>L0360-49</x:v>
      </x:c>
      <x:c r="B100" s="85" t="str">
        <x:v>LR083</x:v>
      </x:c>
      <x:c r="C100" s="93" t="n">
        <x:v>0.36</x:v>
      </x:c>
      <x:c r="D100" s="93" t="str">
        <x:v>Practical</x:v>
      </x:c>
      <x:c r="E100" s="93" t="n">
        <x:v>1</x:v>
      </x:c>
      <x:c r="F100" s="94" t="n">
        <x:v>286341</x:v>
      </x:c>
      <x:c r="G100" s="93" t="n">
        <x:v>0.822674197873171</x:v>
      </x:c>
      <x:c r="H100" s="93" t="n">
        <x:v>83.414</x:v>
      </x:c>
      <x:c r="I100" s="95" t="n">
        <x:v>0.00021923335848844652</x:v>
      </x:c>
      <x:c r="J100" s="95" t="n">
        <x:v>6.597087612060871e-16</x:v>
      </x:c>
      <x:c r="K100" s="95" t="n">
        <x:v>332318397723.93134</x:v>
      </x:c>
      <x:c r="L100" s="95" t="n">
        <x:v>20898816290418.855</x:v>
      </x:c>
      <x:c r="M100" s="95" t="n">
        <x:v>61.363625865824524</x:v>
      </x:c>
      <x:c r="N100" s="95" t="n">
        <x:v>450492661777572.5</x:v>
      </x:c>
      <x:c r="O100" s="95" t="n">
        <x:v>36.60609517905868</x:v>
      </x:c>
      <x:c r="P100" s="93"/>
      <x:c r="Q100" s="95"/>
      <x:c r="R100" s="95"/>
      <x:c r="S100" s="97" t="n">
        <x:v>0.9966666666666667</x:v>
      </x:c>
      <x:c r="T100" s="93" t="n">
        <x:v>0.8064600000000037</x:v>
      </x:c>
      <x:c r="U100" s="98" t="n">
        <x:v>83.86589598505901</x:v>
      </x:c>
      <x:c r="V100" s="95" t="n">
        <x:v>0.0002463637794866708</x:v>
      </x:c>
      <x:c r="W100" s="95" t="n">
        <x:v>6.720224042765417e-16</x:v>
      </x:c>
      <x:c r="X100" s="95" t="n">
        <x:v>366600544742.09235</x:v>
      </x:c>
      <x:c r="Y100" s="99" t="n">
        <x:f>IFERROR(IF(ISBLANK(INDEX('Long_TCAD'!$H$2:$H$176,MATCH(B100,'Long_TCAD'!$A$2:$A$176,0))),"",INDEX('Long_TCAD'!$H$2:$H$176,MATCH(B100,'Long_TCAD'!$A$2:$A$176,0))),"")</x:f>
        <x:v>0.814</x:v>
      </x:c>
      <x:c r="Z100" s="100" t="n">
        <x:f>IFERROR(IF(ISBLANK(INDEX('Long_TCAD'!$I$2:$I$176,MATCH(B100,'Long_TCAD'!$A$2:$A$176,0))),"",INDEX('Long_TCAD'!$I$2:$I$176,MATCH(B100,'Long_TCAD'!$A$2:$A$176,0))),"")</x:f>
        <x:v>83.854</x:v>
      </x:c>
      <x:c r="AA100" s="96" t="n">
        <x:f>IFERROR(IF(ISBLANK(INDEX('Long_TCAD'!$J$2:$J$176,MATCH(B100,'Long_TCAD'!$A$2:$A$176,0))),"",INDEX('Long_TCAD'!$J$2:$J$176,MATCH(B100,'Long_TCAD'!$A$2:$A$176,0))),"")</x:f>
        <x:v>0.0002612</x:v>
      </x:c>
      <x:c r="AB100" s="96" t="n">
        <x:f>IFERROR(IF(ISBLANK(INDEX('Long_TCAD'!$K$2:$K$176,MATCH(B100,'Long_TCAD'!$A$2:$A$176,0))),"",INDEX('Long_TCAD'!$K$2:$K$176,MATCH(B100,'Long_TCAD'!$A$2:$A$176,0))),"")</x:f>
        <x:v>6.64e-16</x:v>
      </x:c>
      <x:c r="AC100" s="95" t="n">
        <x:f>IF(OR(NOT(ISNUMBER(AA100)),NOT(ISNUMBER(AB100))),"",AA100/AB100)</x:f>
        <x:v>393373493975.9036</x:v>
      </x:c>
      <x:c r="AD100" s="93" t="n">
        <x:f>IF(NOT(ISNUMBER(Y100)),"",ABS(Y100-T100)*1000)</x:f>
        <x:v>7.539999999996216</x:v>
      </x:c>
      <x:c r="AE100" s="93" t="n">
        <x:f>IF(NOT(ISNUMBER(Z100)),"",ABS(Z100-U100))</x:f>
        <x:v>0.011895985059013015</x:v>
      </x:c>
      <x:c r="AF100" s="93" t="n">
        <x:f>IF(NOT(ISNUMBER(AA100)),"",ABS(LOG10(AA100)-LOG10(V100)))</x:f>
        <x:v>0.025396314586939805</x:v>
      </x:c>
      <x:c r="AG100" s="93" t="n">
        <x:f>IF(NOT(ISNUMBER(AB100)),"",ABS(LOG10(AB100)-LOG10(W100)))</x:f>
        <x:v>0.00521567269099954</x:v>
      </x:c>
      <x:c r="AH100" s="93" t="n">
        <x:f>IF(NOT(ISNUMBER(AC100)),"",ABS(LOG10(AC100)-LOG10(X100)))</x:f>
        <x:v>0.030611987277898933</x:v>
      </x:c>
      <x:c r="AI100" s="85" t="str">
        <x:f>IF(OR(NOT(ISNUMBER(Y100)),NOT(ISNUMBER(Z100)),NOT(ISNUMBER(AA100)),NOT(ISNUMBER(AB100))),"",IF(AND(Y100&gt;=0.3,Y100&lt;=1.2,Z100&lt;=200,AA100&gt;=1E-4,AB100&lt;=1E-6),"PASS","FAIL"))</x:f>
        <x:v>PASS</x:v>
      </x:c>
      <x:c r="AJ100" s="85" t="str"/>
    </x:row>
    <x:row r="101">
      <x:c r="A101" s="85" t="str">
        <x:v>L0360-50</x:v>
      </x:c>
      <x:c r="B101" s="85" t="str">
        <x:v>LR091</x:v>
      </x:c>
      <x:c r="C101" s="93" t="n">
        <x:v>0.36</x:v>
      </x:c>
      <x:c r="D101" s="93" t="str">
        <x:v>Practical</x:v>
      </x:c>
      <x:c r="E101" s="93" t="n">
        <x:v>1</x:v>
      </x:c>
      <x:c r="F101" s="94" t="n">
        <x:v>307335</x:v>
      </x:c>
      <x:c r="G101" s="93" t="n">
        <x:v>0.8423543369082304</x:v>
      </x:c>
      <x:c r="H101" s="93" t="n">
        <x:v>85.903</x:v>
      </x:c>
      <x:c r="I101" s="95" t="n">
        <x:v>0.00025360570161708215</x:v>
      </x:c>
      <x:c r="J101" s="95" t="n">
        <x:v>4.1632132779913496e-16</x:v>
      </x:c>
      <x:c r="K101" s="95" t="n">
        <x:v>609158562588.5609</x:v>
      </x:c>
      <x:c r="L101" s="95" t="n">
        <x:v>517280313239940.6</x:v>
      </x:c>
      <x:c r="M101" s="95" t="n">
        <x:v>23.326089609493796</x:v>
      </x:c>
      <x:c r="N101" s="95" t="n">
        <x:v>104137044458216.05</x:v>
      </x:c>
      <x:c r="O101" s="95" t="n">
        <x:v>10.761539307677376</x:v>
      </x:c>
      <x:c r="P101" s="93"/>
      <x:c r="Q101" s="95"/>
      <x:c r="R101" s="95"/>
      <x:c r="S101" s="97" t="n">
        <x:v>1</x:v>
      </x:c>
      <x:c r="T101" s="93" t="n">
        <x:v>0.8404100000000023</x:v>
      </x:c>
      <x:c r="U101" s="98" t="n">
        <x:v>85.25082570124418</x:v>
      </x:c>
      <x:c r="V101" s="95" t="n">
        <x:v>0.000256024772557838</x:v>
      </x:c>
      <x:c r="W101" s="95" t="n">
        <x:v>4.1559311892878294e-16</x:v>
      </x:c>
      <x:c r="X101" s="95" t="n">
        <x:v>616046707456.9419</x:v>
      </x:c>
      <x:c r="Y101" s="99" t="n">
        <x:f>IFERROR(IF(ISBLANK(INDEX('Long_TCAD'!$H$2:$H$176,MATCH(B101,'Long_TCAD'!$A$2:$A$176,0))),"",INDEX('Long_TCAD'!$H$2:$H$176,MATCH(B101,'Long_TCAD'!$A$2:$A$176,0))),"")</x:f>
        <x:v>0.84</x:v>
      </x:c>
      <x:c r="Z101" s="100" t="n">
        <x:f>IFERROR(IF(ISBLANK(INDEX('Long_TCAD'!$I$2:$I$176,MATCH(B101,'Long_TCAD'!$A$2:$A$176,0))),"",INDEX('Long_TCAD'!$I$2:$I$176,MATCH(B101,'Long_TCAD'!$A$2:$A$176,0))),"")</x:f>
        <x:v>85.144</x:v>
      </x:c>
      <x:c r="AA101" s="96" t="n">
        <x:f>IFERROR(IF(ISBLANK(INDEX('Long_TCAD'!$J$2:$J$176,MATCH(B101,'Long_TCAD'!$A$2:$A$176,0))),"",INDEX('Long_TCAD'!$J$2:$J$176,MATCH(B101,'Long_TCAD'!$A$2:$A$176,0))),"")</x:f>
        <x:v>0.0002691</x:v>
      </x:c>
      <x:c r="AB101" s="96" t="n">
        <x:f>IFERROR(IF(ISBLANK(INDEX('Long_TCAD'!$K$2:$K$176,MATCH(B101,'Long_TCAD'!$A$2:$A$176,0))),"",INDEX('Long_TCAD'!$K$2:$K$176,MATCH(B101,'Long_TCAD'!$A$2:$A$176,0))),"")</x:f>
        <x:v>4.935e-16</x:v>
      </x:c>
      <x:c r="AC101" s="95" t="n">
        <x:f>IF(OR(NOT(ISNUMBER(AA101)),NOT(ISNUMBER(AB101))),"",AA101/AB101)</x:f>
        <x:v>545288753799.392</x:v>
      </x:c>
      <x:c r="AD101" s="93" t="n">
        <x:f>IF(NOT(ISNUMBER(Y101)),"",ABS(Y101-T101)*1000)</x:f>
        <x:v>0.4100000000023529</x:v>
      </x:c>
      <x:c r="AE101" s="93" t="n">
        <x:f>IF(NOT(ISNUMBER(Z101)),"",ABS(Z101-U101))</x:f>
        <x:v>0.10682570124417623</x:v>
      </x:c>
      <x:c r="AF101" s="93" t="n">
        <x:f>IF(NOT(ISNUMBER(AA101)),"",ABS(LOG10(AA101)-LOG10(V101)))</x:f>
        <x:v>0.021631708761809865</x:v>
      </x:c>
      <x:c r="AG101" s="93" t="n">
        <x:f>IF(NOT(ISNUMBER(AB101)),"",ABS(LOG10(AB101)-LOG10(W101)))</x:f>
        <x:v>0.07461880877499993</x:v>
      </x:c>
      <x:c r="AH101" s="93" t="n">
        <x:f>IF(NOT(ISNUMBER(AC101)),"",ABS(LOG10(AC101)-LOG10(X101)))</x:f>
        <x:v>0.052987100013199395</x:v>
      </x:c>
      <x:c r="AI101" s="85" t="str">
        <x:f>IF(OR(NOT(ISNUMBER(Y101)),NOT(ISNUMBER(Z101)),NOT(ISNUMBER(AA101)),NOT(ISNUMBER(AB101))),"",IF(AND(Y101&gt;=0.3,Y101&lt;=1.2,Z101&lt;=200,AA101&gt;=1E-4,AB101&lt;=1E-6),"PASS","FAIL"))</x:f>
        <x:v>PASS</x:v>
      </x:c>
      <x:c r="AJ101" s="85" t="str"/>
    </x:row>
    <x:row r="102">
      <x:c r="A102" s="85" t="str">
        <x:v>L0720-01</x:v>
      </x:c>
      <x:c r="B102" s="85" t="str">
        <x:v>LR092</x:v>
      </x:c>
      <x:c r="C102" s="93" t="n">
        <x:v>0.72</x:v>
      </x:c>
      <x:c r="D102" s="93" t="str">
        <x:v>Practical</x:v>
      </x:c>
      <x:c r="E102" s="93" t="n">
        <x:v>1</x:v>
      </x:c>
      <x:c r="F102" s="94" t="n">
        <x:v>406257</x:v>
      </x:c>
      <x:c r="G102" s="93" t="n">
        <x:v>0.8767733163559496</x:v>
      </x:c>
      <x:c r="H102" s="93" t="n">
        <x:v>84.14930758096537</x:v>
      </x:c>
      <x:c r="I102" s="95" t="n">
        <x:v>0.00015234627880672882</x:v>
      </x:c>
      <x:c r="J102" s="95" t="n">
        <x:v>3.523892117472086e-16</x:v>
      </x:c>
      <x:c r="K102" s="95" t="n">
        <x:v>432323901323.1103</x:v>
      </x:c>
      <x:c r="L102" s="95" t="n">
        <x:v>201068140692.12628</x:v>
      </x:c>
      <x:c r="M102" s="95" t="n">
        <x:v>38.16081775184199</x:v>
      </x:c>
      <x:c r="N102" s="95" t="n">
        <x:v>9690707809632202</x:v>
      </x:c>
      <x:c r="O102" s="95" t="n">
        <x:v>18.85897266900259</x:v>
      </x:c>
      <x:c r="P102" s="93"/>
      <x:c r="Q102" s="95"/>
      <x:c r="R102" s="95"/>
      <x:c r="S102" s="97" t="n">
        <x:v>1</x:v>
      </x:c>
      <x:c r="T102" s="93" t="n">
        <x:v>0.8778833333333267</x:v>
      </x:c>
      <x:c r="U102" s="98" t="n">
        <x:v>86.09280008120676</x:v>
      </x:c>
      <x:c r="V102" s="95" t="n">
        <x:v>0.00015559151285264575</x:v>
      </x:c>
      <x:c r="W102" s="95" t="n">
        <x:v>3.466613866127416e-16</x:v>
      </x:c>
      <x:c r="X102" s="95" t="n">
        <x:v>448828507763.56683</x:v>
      </x:c>
      <x:c r="Y102" s="99" t="n">
        <x:f>IFERROR(IF(ISBLANK(INDEX('Long_TCAD'!$H$2:$H$176,MATCH(B102,'Long_TCAD'!$A$2:$A$176,0))),"",INDEX('Long_TCAD'!$H$2:$H$176,MATCH(B102,'Long_TCAD'!$A$2:$A$176,0))),"")</x:f>
        <x:v>0.878</x:v>
      </x:c>
      <x:c r="Z102" s="100" t="n">
        <x:f>IFERROR(IF(ISBLANK(INDEX('Long_TCAD'!$I$2:$I$176,MATCH(B102,'Long_TCAD'!$A$2:$A$176,0))),"",INDEX('Long_TCAD'!$I$2:$I$176,MATCH(B102,'Long_TCAD'!$A$2:$A$176,0))),"")</x:f>
        <x:v>86.008</x:v>
      </x:c>
      <x:c r="AA102" s="96" t="n">
        <x:f>IFERROR(IF(ISBLANK(INDEX('Long_TCAD'!$J$2:$J$176,MATCH(B102,'Long_TCAD'!$A$2:$A$176,0))),"",INDEX('Long_TCAD'!$J$2:$J$176,MATCH(B102,'Long_TCAD'!$A$2:$A$176,0))),"")</x:f>
        <x:v>0.0001624</x:v>
      </x:c>
      <x:c r="AB102" s="96" t="n">
        <x:f>IFERROR(IF(ISBLANK(INDEX('Long_TCAD'!$K$2:$K$176,MATCH(B102,'Long_TCAD'!$A$2:$A$176,0))),"",INDEX('Long_TCAD'!$K$2:$K$176,MATCH(B102,'Long_TCAD'!$A$2:$A$176,0))),"")</x:f>
        <x:v>2.732e-16</x:v>
      </x:c>
      <x:c r="AC102" s="95" t="n">
        <x:f>IF(OR(NOT(ISNUMBER(AA102)),NOT(ISNUMBER(AB102))),"",AA102/AB102)</x:f>
        <x:v>594436310395.3148</x:v>
      </x:c>
      <x:c r="AD102" s="93" t="n">
        <x:f>IF(NOT(ISNUMBER(Y102)),"",ABS(Y102-T102)*1000)</x:f>
        <x:v>0.11666666667331516</x:v>
      </x:c>
      <x:c r="AE102" s="93" t="n">
        <x:f>IF(NOT(ISNUMBER(Z102)),"",ABS(Z102-U102))</x:f>
        <x:v>0.0848000812067653</x:v>
      </x:c>
      <x:c r="AF102" s="93" t="n">
        <x:f>IF(NOT(ISNUMBER(AA102)),"",ABS(LOG10(AA102)-LOG10(V102)))</x:f>
        <x:v>0.018600121337549957</x:v>
      </x:c>
      <x:c r="AG102" s="93" t="n">
        <x:f>IF(NOT(ISNUMBER(AB102)),"",ABS(LOG10(AB102)-LOG10(W102)))</x:f>
        <x:v>0.10342477481269974</x:v>
      </x:c>
      <x:c r="AH102" s="93" t="n">
        <x:f>IF(NOT(ISNUMBER(AC102)),"",ABS(LOG10(AC102)-LOG10(X102)))</x:f>
        <x:v>0.12202489615020085</x:v>
      </x:c>
      <x:c r="AI102" s="85" t="str">
        <x:f>IF(OR(NOT(ISNUMBER(Y102)),NOT(ISNUMBER(Z102)),NOT(ISNUMBER(AA102)),NOT(ISNUMBER(AB102))),"",IF(AND(Y102&gt;=0.3,Y102&lt;=1.2,Z102&lt;=200,AA102&gt;=1E-4,AB102&lt;=1E-6),"PASS","FAIL"))</x:f>
        <x:v>PASS</x:v>
      </x:c>
      <x:c r="AJ102" s="85" t="str"/>
    </x:row>
    <x:row r="103">
      <x:c r="A103" s="85" t="str">
        <x:v>L0720-02</x:v>
      </x:c>
      <x:c r="B103" s="85" t="str">
        <x:v>LR093</x:v>
      </x:c>
      <x:c r="C103" s="93" t="n">
        <x:v>0.72</x:v>
      </x:c>
      <x:c r="D103" s="93" t="str">
        <x:v>Practical</x:v>
      </x:c>
      <x:c r="E103" s="93" t="n">
        <x:v>1</x:v>
      </x:c>
      <x:c r="F103" s="94" t="n">
        <x:v>388946</x:v>
      </x:c>
      <x:c r="G103" s="93" t="n">
        <x:v>0.8831445240780341</x:v>
      </x:c>
      <x:c r="H103" s="93" t="n">
        <x:v>91.597</x:v>
      </x:c>
      <x:c r="I103" s="95" t="n">
        <x:v>0.00018043573787764988</x:v>
      </x:c>
      <x:c r="J103" s="95" t="n">
        <x:v>2.97551491268083e-16</x:v>
      </x:c>
      <x:c r="K103" s="95" t="n">
        <x:v>606401725996.0021</x:v>
      </x:c>
      <x:c r="L103" s="95" t="n">
        <x:v>600530084105225.5</x:v>
      </x:c>
      <x:c r="M103" s="95" t="n">
        <x:v>23.23517300713532</x:v>
      </x:c>
      <x:c r="N103" s="95" t="n">
        <x:v>698224804774768800</x:v>
      </x:c>
      <x:c r="O103" s="95" t="n">
        <x:v>10.865206509778822</x:v>
      </x:c>
      <x:c r="P103" s="93"/>
      <x:c r="Q103" s="95"/>
      <x:c r="R103" s="95"/>
      <x:c r="S103" s="97" t="n">
        <x:v>0.9866666666666667</x:v>
      </x:c>
      <x:c r="T103" s="93" t="n">
        <x:v>0.879946666666664</x:v>
      </x:c>
      <x:c r="U103" s="98" t="n">
        <x:v>87.32647018796199</x:v>
      </x:c>
      <x:c r="V103" s="95" t="n">
        <x:v>0.0001785403425205343</x:v>
      </x:c>
      <x:c r="W103" s="95" t="n">
        <x:v>2.8950231306362583e-16</x:v>
      </x:c>
      <x:c r="X103" s="95" t="n">
        <x:v>616714735820.7646</x:v>
      </x:c>
      <x:c r="Y103" s="99" t="n">
        <x:f>IFERROR(IF(ISBLANK(INDEX('Long_TCAD'!$H$2:$H$176,MATCH(B103,'Long_TCAD'!$A$2:$A$176,0))),"",INDEX('Long_TCAD'!$H$2:$H$176,MATCH(B103,'Long_TCAD'!$A$2:$A$176,0))),"")</x:f>
        <x:v>0.88</x:v>
      </x:c>
      <x:c r="Z103" s="100" t="n">
        <x:f>IFERROR(IF(ISBLANK(INDEX('Long_TCAD'!$I$2:$I$176,MATCH(B103,'Long_TCAD'!$A$2:$A$176,0))),"",INDEX('Long_TCAD'!$I$2:$I$176,MATCH(B103,'Long_TCAD'!$A$2:$A$176,0))),"")</x:f>
        <x:v>86.758</x:v>
      </x:c>
      <x:c r="AA103" s="96" t="n">
        <x:f>IFERROR(IF(ISBLANK(INDEX('Long_TCAD'!$J$2:$J$176,MATCH(B103,'Long_TCAD'!$A$2:$A$176,0))),"",INDEX('Long_TCAD'!$J$2:$J$176,MATCH(B103,'Long_TCAD'!$A$2:$A$176,0))),"")</x:f>
        <x:v>0.0001781</x:v>
      </x:c>
      <x:c r="AB103" s="96" t="n">
        <x:f>IFERROR(IF(ISBLANK(INDEX('Long_TCAD'!$K$2:$K$176,MATCH(B103,'Long_TCAD'!$A$2:$A$176,0))),"",INDEX('Long_TCAD'!$K$2:$K$176,MATCH(B103,'Long_TCAD'!$A$2:$A$176,0))),"")</x:f>
        <x:v>2.875e-16</x:v>
      </x:c>
      <x:c r="AC103" s="95" t="n">
        <x:f>IF(OR(NOT(ISNUMBER(AA103)),NOT(ISNUMBER(AB103))),"",AA103/AB103)</x:f>
        <x:v>619478260869.5652</x:v>
      </x:c>
      <x:c r="AD103" s="93" t="n">
        <x:f>IF(NOT(ISNUMBER(Y103)),"",ABS(Y103-T103)*1000)</x:f>
        <x:v>0.0533333333360142</x:v>
      </x:c>
      <x:c r="AE103" s="93" t="n">
        <x:f>IF(NOT(ISNUMBER(Z103)),"",ABS(Z103-U103))</x:f>
        <x:v>0.5684701879619922</x:v>
      </x:c>
      <x:c r="AF103" s="93" t="n">
        <x:f>IF(NOT(ISNUMBER(AA103)),"",ABS(LOG10(AA103)-LOG10(V103)))</x:f>
        <x:v>0.0010724441472000912</x:v>
      </x:c>
      <x:c r="AG103" s="93" t="n">
        <x:f>IF(NOT(ISNUMBER(AB103)),"",ABS(LOG10(AB103)-LOG10(W103)))</x:f>
        <x:v>0.003014188974800547</x:v>
      </x:c>
      <x:c r="AH103" s="93" t="n">
        <x:f>IF(NOT(ISNUMBER(AC103)),"",ABS(LOG10(AC103)-LOG10(X103)))</x:f>
        <x:v>0.0019417448276008997</x:v>
      </x:c>
      <x:c r="AI103" s="85" t="str">
        <x:f>IF(OR(NOT(ISNUMBER(Y103)),NOT(ISNUMBER(Z103)),NOT(ISNUMBER(AA103)),NOT(ISNUMBER(AB103))),"",IF(AND(Y103&gt;=0.3,Y103&lt;=1.2,Z103&lt;=200,AA103&gt;=1E-4,AB103&lt;=1E-6),"PASS","FAIL"))</x:f>
        <x:v>PASS</x:v>
      </x:c>
      <x:c r="AJ103" s="85" t="str"/>
    </x:row>
    <x:row r="104">
      <x:c r="A104" s="85" t="str">
        <x:v>L0720-03</x:v>
      </x:c>
      <x:c r="B104" s="85" t="str">
        <x:v>LR094</x:v>
      </x:c>
      <x:c r="C104" s="93" t="n">
        <x:v>0.72</x:v>
      </x:c>
      <x:c r="D104" s="93" t="str">
        <x:v>Practical</x:v>
      </x:c>
      <x:c r="E104" s="93" t="n">
        <x:v>1</x:v>
      </x:c>
      <x:c r="F104" s="94" t="n">
        <x:v>408095</x:v>
      </x:c>
      <x:c r="G104" s="93" t="n">
        <x:v>0.8703441397682377</x:v>
      </x:c>
      <x:c r="H104" s="93" t="n">
        <x:v>90.48030622720103</x:v>
      </x:c>
      <x:c r="I104" s="95" t="n">
        <x:v>0.000152342468175818</x:v>
      </x:c>
      <x:c r="J104" s="95" t="n">
        <x:v>5.324001932787026e-16</x:v>
      </x:c>
      <x:c r="K104" s="95" t="n">
        <x:v>286142773986.6902</x:v>
      </x:c>
      <x:c r="L104" s="95" t="n">
        <x:v>8329092487917.882</x:v>
      </x:c>
      <x:c r="M104" s="95" t="n">
        <x:v>68.84156436044525</x:v>
      </x:c>
      <x:c r="N104" s="95" t="n">
        <x:v>360035188685825.1</x:v>
      </x:c>
      <x:c r="O104" s="95" t="n">
        <x:v>15.672638067518166</x:v>
      </x:c>
      <x:c r="P104" s="93"/>
      <x:c r="Q104" s="95"/>
      <x:c r="R104" s="95"/>
      <x:c r="S104" s="97" t="n">
        <x:v>1</x:v>
      </x:c>
      <x:c r="T104" s="93" t="n">
        <x:v>0.8564833333333333</x:v>
      </x:c>
      <x:c r="U104" s="98" t="n">
        <x:v>86.20046887369867</x:v>
      </x:c>
      <x:c r="V104" s="95" t="n">
        <x:v>0.00015227161174214435</x:v>
      </x:c>
      <x:c r="W104" s="95" t="n">
        <x:v>5.390292362121119e-16</x:v>
      </x:c>
      <x:c r="X104" s="95" t="n">
        <x:v>282492305634.83636</x:v>
      </x:c>
      <x:c r="Y104" s="99" t="n">
        <x:f>IFERROR(IF(ISBLANK(INDEX('Long_TCAD'!$H$2:$H$176,MATCH(B104,'Long_TCAD'!$A$2:$A$176,0))),"",INDEX('Long_TCAD'!$H$2:$H$176,MATCH(B104,'Long_TCAD'!$A$2:$A$176,0))),"")</x:f>
        <x:v>0.863</x:v>
      </x:c>
      <x:c r="Z104" s="100" t="n">
        <x:f>IFERROR(IF(ISBLANK(INDEX('Long_TCAD'!$I$2:$I$176,MATCH(B104,'Long_TCAD'!$A$2:$A$176,0))),"",INDEX('Long_TCAD'!$I$2:$I$176,MATCH(B104,'Long_TCAD'!$A$2:$A$176,0))),"")</x:f>
        <x:v>86.19</x:v>
      </x:c>
      <x:c r="AA104" s="96" t="n">
        <x:f>IFERROR(IF(ISBLANK(INDEX('Long_TCAD'!$J$2:$J$176,MATCH(B104,'Long_TCAD'!$A$2:$A$176,0))),"",INDEX('Long_TCAD'!$J$2:$J$176,MATCH(B104,'Long_TCAD'!$A$2:$A$176,0))),"")</x:f>
        <x:v>0.0001564</x:v>
      </x:c>
      <x:c r="AB104" s="96" t="n">
        <x:f>IFERROR(IF(ISBLANK(INDEX('Long_TCAD'!$K$2:$K$176,MATCH(B104,'Long_TCAD'!$A$2:$A$176,0))),"",INDEX('Long_TCAD'!$K$2:$K$176,MATCH(B104,'Long_TCAD'!$A$2:$A$176,0))),"")</x:f>
        <x:v>5.372e-16</x:v>
      </x:c>
      <x:c r="AC104" s="95" t="n">
        <x:f>IF(OR(NOT(ISNUMBER(AA104)),NOT(ISNUMBER(AB104))),"",AA104/AB104)</x:f>
        <x:v>291139240506.3291</x:v>
      </x:c>
      <x:c r="AD104" s="93" t="n">
        <x:f>IF(NOT(ISNUMBER(Y104)),"",ABS(Y104-T104)*1000)</x:f>
        <x:v>6.516666666666726</x:v>
      </x:c>
      <x:c r="AE104" s="93" t="n">
        <x:f>IF(NOT(ISNUMBER(Z104)),"",ABS(Z104-U104))</x:f>
        <x:v>0.010468873698670222</x:v>
      </x:c>
      <x:c r="AF104" s="93" t="n">
        <x:f>IF(NOT(ISNUMBER(AA104)),"",ABS(LOG10(AA104)-LOG10(V104)))</x:f>
        <x:v>0.01161780410683999</x:v>
      </x:c>
      <x:c r="AG104" s="93" t="n">
        <x:f>IF(NOT(ISNUMBER(AB104)),"",ABS(LOG10(AB104)-LOG10(W104)))</x:f>
        <x:v>0.0014763173704999133</x:v>
      </x:c>
      <x:c r="AH104" s="93" t="n">
        <x:f>IF(NOT(ISNUMBER(AC104)),"",ABS(LOG10(AC104)-LOG10(X104)))</x:f>
        <x:v>0.013094121477399412</x:v>
      </x:c>
      <x:c r="AI104" s="85" t="str">
        <x:f>IF(OR(NOT(ISNUMBER(Y104)),NOT(ISNUMBER(Z104)),NOT(ISNUMBER(AA104)),NOT(ISNUMBER(AB104))),"",IF(AND(Y104&gt;=0.3,Y104&lt;=1.2,Z104&lt;=200,AA104&gt;=1E-4,AB104&lt;=1E-6),"PASS","FAIL"))</x:f>
        <x:v>PASS</x:v>
      </x:c>
      <x:c r="AJ104" s="85" t="str"/>
    </x:row>
    <x:row r="105">
      <x:c r="A105" s="85" t="str">
        <x:v>L0720-04</x:v>
      </x:c>
      <x:c r="B105" s="85" t="str">
        <x:v>LR095</x:v>
      </x:c>
      <x:c r="C105" s="93" t="n">
        <x:v>0.72</x:v>
      </x:c>
      <x:c r="D105" s="93" t="str">
        <x:v>Practical</x:v>
      </x:c>
      <x:c r="E105" s="93" t="n">
        <x:v>1</x:v>
      </x:c>
      <x:c r="F105" s="94" t="n">
        <x:v>403964</x:v>
      </x:c>
      <x:c r="G105" s="93" t="n">
        <x:v>0.8622710446499865</x:v>
      </x:c>
      <x:c r="H105" s="93" t="n">
        <x:v>83.466</x:v>
      </x:c>
      <x:c r="I105" s="95" t="n">
        <x:v>0.00018044472377488135</x:v>
      </x:c>
      <x:c r="J105" s="95" t="n">
        <x:v>4.038805896637786e-16</x:v>
      </x:c>
      <x:c r="K105" s="95" t="n">
        <x:v>446777409939.6494</x:v>
      </x:c>
      <x:c r="L105" s="95" t="n">
        <x:v>5200959932466.632</x:v>
      </x:c>
      <x:c r="M105" s="95" t="n">
        <x:v>63.47059153678756</x:v>
      </x:c>
      <x:c r="N105" s="95" t="n">
        <x:v>516913580909542400</x:v>
      </x:c>
      <x:c r="O105" s="95" t="n">
        <x:v>27.33597603955939</x:v>
      </x:c>
      <x:c r="P105" s="93"/>
      <x:c r="Q105" s="95"/>
      <x:c r="R105" s="95"/>
      <x:c r="S105" s="97" t="n">
        <x:v>1</x:v>
      </x:c>
      <x:c r="T105" s="93" t="n">
        <x:v>0.8621366666666692</x:v>
      </x:c>
      <x:c r="U105" s="98" t="n">
        <x:v>85.2524086631287</x:v>
      </x:c>
      <x:c r="V105" s="95" t="n">
        <x:v>0.00018355333742289869</x:v>
      </x:c>
      <x:c r="W105" s="95" t="n">
        <x:v>4.072491215939358e-16</x:v>
      </x:c>
      <x:c r="X105" s="95" t="n">
        <x:v>450715121752.7191</x:v>
      </x:c>
      <x:c r="Y105" s="99" t="n">
        <x:f>IFERROR(IF(ISBLANK(INDEX('Long_TCAD'!$H$2:$H$176,MATCH(B105,'Long_TCAD'!$A$2:$A$176,0))),"",INDEX('Long_TCAD'!$H$2:$H$176,MATCH(B105,'Long_TCAD'!$A$2:$A$176,0))),"")</x:f>
        <x:v>0.861</x:v>
      </x:c>
      <x:c r="Z105" s="100" t="n">
        <x:f>IFERROR(IF(ISBLANK(INDEX('Long_TCAD'!$I$2:$I$176,MATCH(B105,'Long_TCAD'!$A$2:$A$176,0))),"",INDEX('Long_TCAD'!$I$2:$I$176,MATCH(B105,'Long_TCAD'!$A$2:$A$176,0))),"")</x:f>
        <x:v>85.384</x:v>
      </x:c>
      <x:c r="AA105" s="96" t="n">
        <x:f>IFERROR(IF(ISBLANK(INDEX('Long_TCAD'!$J$2:$J$176,MATCH(B105,'Long_TCAD'!$A$2:$A$176,0))),"",INDEX('Long_TCAD'!$J$2:$J$176,MATCH(B105,'Long_TCAD'!$A$2:$A$176,0))),"")</x:f>
        <x:v>0.0001895</x:v>
      </x:c>
      <x:c r="AB105" s="96" t="n">
        <x:f>IFERROR(IF(ISBLANK(INDEX('Long_TCAD'!$K$2:$K$176,MATCH(B105,'Long_TCAD'!$A$2:$A$176,0))),"",INDEX('Long_TCAD'!$K$2:$K$176,MATCH(B105,'Long_TCAD'!$A$2:$A$176,0))),"")</x:f>
        <x:v>4.592e-16</x:v>
      </x:c>
      <x:c r="AC105" s="95" t="n">
        <x:f>IF(OR(NOT(ISNUMBER(AA105)),NOT(ISNUMBER(AB105))),"",AA105/AB105)</x:f>
        <x:v>412674216027.8745</x:v>
      </x:c>
      <x:c r="AD105" s="93" t="n">
        <x:f>IF(NOT(ISNUMBER(Y105)),"",ABS(Y105-T105)*1000)</x:f>
        <x:v>1.1366666666692282</x:v>
      </x:c>
      <x:c r="AE105" s="93" t="n">
        <x:f>IF(NOT(ISNUMBER(Z105)),"",ABS(Z105-U105))</x:f>
        <x:v>0.13159133687129554</x:v>
      </x:c>
      <x:c r="AF105" s="93" t="n">
        <x:f>IF(NOT(ISNUMBER(AA105)),"",ABS(LOG10(AA105)-LOG10(V105)))</x:f>
        <x:v>0.013846928917249812</x:v>
      </x:c>
      <x:c r="AG105" s="93" t="n">
        <x:f>IF(NOT(ISNUMBER(AB105)),"",ABS(LOG10(AB105)-LOG10(W105)))</x:f>
        <x:v>0.05214172314919985</x:v>
      </x:c>
      <x:c r="AH105" s="93" t="n">
        <x:f>IF(NOT(ISNUMBER(AC105)),"",ABS(LOG10(AC105)-LOG10(X105)))</x:f>
        <x:v>0.038294794231999774</x:v>
      </x:c>
      <x:c r="AI105" s="85" t="str">
        <x:f>IF(OR(NOT(ISNUMBER(Y105)),NOT(ISNUMBER(Z105)),NOT(ISNUMBER(AA105)),NOT(ISNUMBER(AB105))),"",IF(AND(Y105&gt;=0.3,Y105&lt;=1.2,Z105&lt;=200,AA105&gt;=1E-4,AB105&lt;=1E-6),"PASS","FAIL"))</x:f>
        <x:v>PASS</x:v>
      </x:c>
      <x:c r="AJ105" s="85" t="str"/>
    </x:row>
    <x:row r="106">
      <x:c r="A106" s="85" t="str">
        <x:v>L0720-05</x:v>
      </x:c>
      <x:c r="B106" s="85" t="str">
        <x:v>LR096</x:v>
      </x:c>
      <x:c r="C106" s="93" t="n">
        <x:v>0.72</x:v>
      </x:c>
      <x:c r="D106" s="93" t="str">
        <x:v>Practical</x:v>
      </x:c>
      <x:c r="E106" s="93" t="n">
        <x:v>1</x:v>
      </x:c>
      <x:c r="F106" s="94" t="n">
        <x:v>404635</x:v>
      </x:c>
      <x:c r="G106" s="93" t="n">
        <x:v>0.8787960243257001</x:v>
      </x:c>
      <x:c r="H106" s="93" t="n">
        <x:v>84.63177868191984</x:v>
      </x:c>
      <x:c r="I106" s="95" t="n">
        <x:v>0.0001586667958195823</x:v>
      </x:c>
      <x:c r="J106" s="95" t="n">
        <x:v>3.358863359349909e-16</x:v>
      </x:c>
      <x:c r="K106" s="95" t="n">
        <x:v>472382406917.236</x:v>
      </x:c>
      <x:c r="L106" s="95" t="n">
        <x:v>52020797972200.28</x:v>
      </x:c>
      <x:c r="M106" s="95" t="n">
        <x:v>13.199092320203057</x:v>
      </x:c>
      <x:c r="N106" s="95" t="n">
        <x:v>5127642465989565</x:v>
      </x:c>
      <x:c r="O106" s="95" t="n">
        <x:v>20.1105931484594</x:v>
      </x:c>
      <x:c r="P106" s="93"/>
      <x:c r="Q106" s="95"/>
      <x:c r="R106" s="95"/>
      <x:c r="S106" s="97" t="n">
        <x:v>1</x:v>
      </x:c>
      <x:c r="T106" s="93" t="n">
        <x:v>0.8806866666666656</x:v>
      </x:c>
      <x:c r="U106" s="98" t="n">
        <x:v>85.80822745806051</x:v>
      </x:c>
      <x:c r="V106" s="95" t="n">
        <x:v>0.00015948785650090653</x:v>
      </x:c>
      <x:c r="W106" s="95" t="n">
        <x:v>3.449567953029597e-16</x:v>
      </x:c>
      <x:c r="X106" s="95" t="n">
        <x:v>462341541527.9345</x:v>
      </x:c>
      <x:c r="Y106" s="99" t="n">
        <x:f>IFERROR(IF(ISBLANK(INDEX('Long_TCAD'!$H$2:$H$176,MATCH(B106,'Long_TCAD'!$A$2:$A$176,0))),"",INDEX('Long_TCAD'!$H$2:$H$176,MATCH(B106,'Long_TCAD'!$A$2:$A$176,0))),"")</x:f>
        <x:v>0.882</x:v>
      </x:c>
      <x:c r="Z106" s="100" t="n">
        <x:f>IFERROR(IF(ISBLANK(INDEX('Long_TCAD'!$I$2:$I$176,MATCH(B106,'Long_TCAD'!$A$2:$A$176,0))),"",INDEX('Long_TCAD'!$I$2:$I$176,MATCH(B106,'Long_TCAD'!$A$2:$A$176,0))),"")</x:f>
        <x:v>86.154</x:v>
      </x:c>
      <x:c r="AA106" s="96" t="n">
        <x:f>IFERROR(IF(ISBLANK(INDEX('Long_TCAD'!$J$2:$J$176,MATCH(B106,'Long_TCAD'!$A$2:$A$176,0))),"",INDEX('Long_TCAD'!$J$2:$J$176,MATCH(B106,'Long_TCAD'!$A$2:$A$176,0))),"")</x:f>
        <x:v>0.0001698</x:v>
      </x:c>
      <x:c r="AB106" s="96" t="n">
        <x:f>IFERROR(IF(ISBLANK(INDEX('Long_TCAD'!$K$2:$K$176,MATCH(B106,'Long_TCAD'!$A$2:$A$176,0))),"",INDEX('Long_TCAD'!$K$2:$K$176,MATCH(B106,'Long_TCAD'!$A$2:$A$176,0))),"")</x:f>
        <x:v>3.248e-16</x:v>
      </x:c>
      <x:c r="AC106" s="95" t="n">
        <x:f>IF(OR(NOT(ISNUMBER(AA106)),NOT(ISNUMBER(AB106))),"",AA106/AB106)</x:f>
        <x:v>522783251231.5271</x:v>
      </x:c>
      <x:c r="AD106" s="93" t="n">
        <x:f>IF(NOT(ISNUMBER(Y106)),"",ABS(Y106-T106)*1000)</x:f>
        <x:v>1.3133333333343877</x:v>
      </x:c>
      <x:c r="AE106" s="93" t="n">
        <x:f>IF(NOT(ISNUMBER(Z106)),"",ABS(Z106-U106))</x:f>
        <x:v>0.3457725419394819</x:v>
      </x:c>
      <x:c r="AF106" s="93" t="n">
        <x:f>IF(NOT(ISNUMBER(AA106)),"",ABS(LOG10(AA106)-LOG10(V106)))</x:f>
        <x:v>0.027210064692909874</x:v>
      </x:c>
      <x:c r="AG106" s="93" t="n">
        <x:f>IF(NOT(ISNUMBER(AB106)),"",ABS(LOG10(AB106)-LOG10(W106)))</x:f>
        <x:v>0.026148683963599595</x:v>
      </x:c>
      <x:c r="AH106" s="93" t="n">
        <x:f>IF(NOT(ISNUMBER(AC106)),"",ABS(LOG10(AC106)-LOG10(X106)))</x:f>
        <x:v>0.0533587486564997</x:v>
      </x:c>
      <x:c r="AI106" s="85" t="str">
        <x:f>IF(OR(NOT(ISNUMBER(Y106)),NOT(ISNUMBER(Z106)),NOT(ISNUMBER(AA106)),NOT(ISNUMBER(AB106))),"",IF(AND(Y106&gt;=0.3,Y106&lt;=1.2,Z106&lt;=200,AA106&gt;=1E-4,AB106&lt;=1E-6),"PASS","FAIL"))</x:f>
        <x:v>PASS</x:v>
      </x:c>
      <x:c r="AJ106" s="85" t="str"/>
    </x:row>
    <x:row r="107">
      <x:c r="A107" s="85" t="str">
        <x:v>L0720-06</x:v>
      </x:c>
      <x:c r="B107" s="85" t="str">
        <x:v>LR093</x:v>
      </x:c>
      <x:c r="C107" s="93" t="n">
        <x:v>0.72</x:v>
      </x:c>
      <x:c r="D107" s="93" t="str">
        <x:v>Practical</x:v>
      </x:c>
      <x:c r="E107" s="93" t="n">
        <x:v>1</x:v>
      </x:c>
      <x:c r="F107" s="94" t="n">
        <x:v>384665</x:v>
      </x:c>
      <x:c r="G107" s="93" t="n">
        <x:v>0.8688686209987597</x:v>
      </x:c>
      <x:c r="H107" s="93" t="n">
        <x:v>88.17548369664013</x:v>
      </x:c>
      <x:c r="I107" s="95" t="n">
        <x:v>0.00020076032589277693</x:v>
      </x:c>
      <x:c r="J107" s="95" t="n">
        <x:v>2.934e-16</x:v>
      </x:c>
      <x:c r="K107" s="95" t="n">
        <x:v>684254689477.7673</x:v>
      </x:c>
      <x:c r="L107" s="95" t="n">
        <x:v>600530084105225.5</x:v>
      </x:c>
      <x:c r="M107" s="95" t="n">
        <x:v>23.23517300713532</x:v>
      </x:c>
      <x:c r="N107" s="95" t="n">
        <x:v>698224804774768800</x:v>
      </x:c>
      <x:c r="O107" s="95" t="n">
        <x:v>10.865206509778822</x:v>
      </x:c>
      <x:c r="P107" s="93"/>
      <x:c r="Q107" s="95"/>
      <x:c r="R107" s="95"/>
      <x:c r="S107" s="97" t="n">
        <x:v>0.9866666666666667</x:v>
      </x:c>
      <x:c r="T107" s="93" t="n">
        <x:v>0.879946666666664</x:v>
      </x:c>
      <x:c r="U107" s="98" t="n">
        <x:v>87.32647018796199</x:v>
      </x:c>
      <x:c r="V107" s="95" t="n">
        <x:v>0.0001785403425205343</x:v>
      </x:c>
      <x:c r="W107" s="95" t="n">
        <x:v>2.8950231306362583e-16</x:v>
      </x:c>
      <x:c r="X107" s="95" t="n">
        <x:v>616714735820.7646</x:v>
      </x:c>
      <x:c r="Y107" s="99" t="n">
        <x:f>IFERROR(IF(ISBLANK(INDEX('Long_TCAD'!$H$2:$H$176,MATCH(B107,'Long_TCAD'!$A$2:$A$176,0))),"",INDEX('Long_TCAD'!$H$2:$H$176,MATCH(B107,'Long_TCAD'!$A$2:$A$176,0))),"")</x:f>
        <x:v>0.88</x:v>
      </x:c>
      <x:c r="Z107" s="100" t="n">
        <x:f>IFERROR(IF(ISBLANK(INDEX('Long_TCAD'!$I$2:$I$176,MATCH(B107,'Long_TCAD'!$A$2:$A$176,0))),"",INDEX('Long_TCAD'!$I$2:$I$176,MATCH(B107,'Long_TCAD'!$A$2:$A$176,0))),"")</x:f>
        <x:v>86.758</x:v>
      </x:c>
      <x:c r="AA107" s="96" t="n">
        <x:f>IFERROR(IF(ISBLANK(INDEX('Long_TCAD'!$J$2:$J$176,MATCH(B107,'Long_TCAD'!$A$2:$A$176,0))),"",INDEX('Long_TCAD'!$J$2:$J$176,MATCH(B107,'Long_TCAD'!$A$2:$A$176,0))),"")</x:f>
        <x:v>0.0001781</x:v>
      </x:c>
      <x:c r="AB107" s="96" t="n">
        <x:f>IFERROR(IF(ISBLANK(INDEX('Long_TCAD'!$K$2:$K$176,MATCH(B107,'Long_TCAD'!$A$2:$A$176,0))),"",INDEX('Long_TCAD'!$K$2:$K$176,MATCH(B107,'Long_TCAD'!$A$2:$A$176,0))),"")</x:f>
        <x:v>2.875e-16</x:v>
      </x:c>
      <x:c r="AC107" s="95" t="n">
        <x:f>IF(OR(NOT(ISNUMBER(AA107)),NOT(ISNUMBER(AB107))),"",AA107/AB107)</x:f>
        <x:v>619478260869.5652</x:v>
      </x:c>
      <x:c r="AD107" s="93" t="n">
        <x:f>IF(NOT(ISNUMBER(Y107)),"",ABS(Y107-T107)*1000)</x:f>
        <x:v>0.0533333333360142</x:v>
      </x:c>
      <x:c r="AE107" s="93" t="n">
        <x:f>IF(NOT(ISNUMBER(Z107)),"",ABS(Z107-U107))</x:f>
        <x:v>0.5684701879619922</x:v>
      </x:c>
      <x:c r="AF107" s="93" t="n">
        <x:f>IF(NOT(ISNUMBER(AA107)),"",ABS(LOG10(AA107)-LOG10(V107)))</x:f>
        <x:v>0.0010724441472000912</x:v>
      </x:c>
      <x:c r="AG107" s="93" t="n">
        <x:f>IF(NOT(ISNUMBER(AB107)),"",ABS(LOG10(AB107)-LOG10(W107)))</x:f>
        <x:v>0.003014188974800547</x:v>
      </x:c>
      <x:c r="AH107" s="93" t="n">
        <x:f>IF(NOT(ISNUMBER(AC107)),"",ABS(LOG10(AC107)-LOG10(X107)))</x:f>
        <x:v>0.0019417448276008997</x:v>
      </x:c>
      <x:c r="AI107" s="85" t="str">
        <x:f>IF(OR(NOT(ISNUMBER(Y107)),NOT(ISNUMBER(Z107)),NOT(ISNUMBER(AA107)),NOT(ISNUMBER(AB107))),"",IF(AND(Y107&gt;=0.3,Y107&lt;=1.2,Z107&lt;=200,AA107&gt;=1E-4,AB107&lt;=1E-6),"PASS","FAIL"))</x:f>
        <x:v>PASS</x:v>
      </x:c>
      <x:c r="AJ107" s="85" t="str"/>
    </x:row>
    <x:row r="108">
      <x:c r="A108" s="85" t="str">
        <x:v>L0720-07</x:v>
      </x:c>
      <x:c r="B108" s="85" t="str">
        <x:v>LR097</x:v>
      </x:c>
      <x:c r="C108" s="93" t="n">
        <x:v>0.72</x:v>
      </x:c>
      <x:c r="D108" s="93" t="str">
        <x:v>Practical</x:v>
      </x:c>
      <x:c r="E108" s="93" t="n">
        <x:v>1</x:v>
      </x:c>
      <x:c r="F108" s="94" t="n">
        <x:v>402719</x:v>
      </x:c>
      <x:c r="G108" s="93" t="n">
        <x:v>0.8727485177882318</x:v>
      </x:c>
      <x:c r="H108" s="93" t="n">
        <x:v>89.79104217481539</x:v>
      </x:c>
      <x:c r="I108" s="95" t="n">
        <x:v>0.00018309730945004663</x:v>
      </x:c>
      <x:c r="J108" s="95" t="n">
        <x:v>5.281420656567831e-16</x:v>
      </x:c>
      <x:c r="K108" s="95" t="n">
        <x:v>346681927754.32837</x:v>
      </x:c>
      <x:c r="L108" s="95" t="n">
        <x:v>349150350303847.8</x:v>
      </x:c>
      <x:c r="M108" s="95" t="n">
        <x:v>57.873025818567484</x:v>
      </x:c>
      <x:c r="N108" s="95" t="n">
        <x:v>1075365249937356.2</x:v>
      </x:c>
      <x:c r="O108" s="95" t="n">
        <x:v>12.206843209597425</x:v>
      </x:c>
      <x:c r="P108" s="93"/>
      <x:c r="Q108" s="95"/>
      <x:c r="R108" s="95"/>
      <x:c r="S108" s="97" t="n">
        <x:v>1</x:v>
      </x:c>
      <x:c r="T108" s="93" t="n">
        <x:v>0.8741533333333312</x:v>
      </x:c>
      <x:c r="U108" s="98" t="n">
        <x:v>86.26444503232962</x:v>
      </x:c>
      <x:c r="V108" s="95" t="n">
        <x:v>0.00017422467897030907</x:v>
      </x:c>
      <x:c r="W108" s="95" t="n">
        <x:v>5.161700997722097e-16</x:v>
      </x:c>
      <x:c r="X108" s="95" t="n">
        <x:v>337533458538.56305</x:v>
      </x:c>
      <x:c r="Y108" s="99" t="n">
        <x:f>IFERROR(IF(ISBLANK(INDEX('Long_TCAD'!$H$2:$H$176,MATCH(B108,'Long_TCAD'!$A$2:$A$176,0))),"",INDEX('Long_TCAD'!$H$2:$H$176,MATCH(B108,'Long_TCAD'!$A$2:$A$176,0))),"")</x:f>
        <x:v>0.871</x:v>
      </x:c>
      <x:c r="Z108" s="100" t="n">
        <x:f>IFERROR(IF(ISBLANK(INDEX('Long_TCAD'!$I$2:$I$176,MATCH(B108,'Long_TCAD'!$A$2:$A$176,0))),"",INDEX('Long_TCAD'!$I$2:$I$176,MATCH(B108,'Long_TCAD'!$A$2:$A$176,0))),"")</x:f>
        <x:v>85.994</x:v>
      </x:c>
      <x:c r="AA108" s="96" t="n">
        <x:f>IFERROR(IF(ISBLANK(INDEX('Long_TCAD'!$J$2:$J$176,MATCH(B108,'Long_TCAD'!$A$2:$A$176,0))),"",INDEX('Long_TCAD'!$J$2:$J$176,MATCH(B108,'Long_TCAD'!$A$2:$A$176,0))),"")</x:f>
        <x:v>0.0001785</x:v>
      </x:c>
      <x:c r="AB108" s="96" t="n">
        <x:f>IFERROR(IF(ISBLANK(INDEX('Long_TCAD'!$K$2:$K$176,MATCH(B108,'Long_TCAD'!$A$2:$A$176,0))),"",INDEX('Long_TCAD'!$K$2:$K$176,MATCH(B108,'Long_TCAD'!$A$2:$A$176,0))),"")</x:f>
        <x:v>5.577e-16</x:v>
      </x:c>
      <x:c r="AC108" s="95" t="n">
        <x:f>IF(OR(NOT(ISNUMBER(AA108)),NOT(ISNUMBER(AB108))),"",AA108/AB108)</x:f>
        <x:v>320064550833.7816</x:v>
      </x:c>
      <x:c r="AD108" s="93" t="n">
        <x:f>IF(NOT(ISNUMBER(Y108)),"",ABS(Y108-T108)*1000)</x:f>
        <x:v>3.153333333331232</x:v>
      </x:c>
      <x:c r="AE108" s="93" t="n">
        <x:f>IF(NOT(ISNUMBER(Z108)),"",ABS(Z108-U108))</x:f>
        <x:v>0.2704450323296186</x:v>
      </x:c>
      <x:c r="AF108" s="93" t="n">
        <x:f>IF(NOT(ISNUMBER(AA108)),"",ABS(LOG10(AA108)-LOG10(V108)))</x:f>
        <x:v>0.01052854749477028</x:v>
      </x:c>
      <x:c r="AG108" s="93" t="n">
        <x:f>IF(NOT(ISNUMBER(AB108)),"",ABS(LOG10(AB108)-LOG10(W108)))</x:f>
        <x:v>0.03360780096729954</x:v>
      </x:c>
      <x:c r="AH108" s="93" t="n">
        <x:f>IF(NOT(ISNUMBER(AC108)),"",ABS(LOG10(AC108)-LOG10(X108)))</x:f>
        <x:v>0.02307925347249906</x:v>
      </x:c>
      <x:c r="AI108" s="85" t="str">
        <x:f>IF(OR(NOT(ISNUMBER(Y108)),NOT(ISNUMBER(Z108)),NOT(ISNUMBER(AA108)),NOT(ISNUMBER(AB108))),"",IF(AND(Y108&gt;=0.3,Y108&lt;=1.2,Z108&lt;=200,AA108&gt;=1E-4,AB108&lt;=1E-6),"PASS","FAIL"))</x:f>
        <x:v>PASS</x:v>
      </x:c>
      <x:c r="AJ108" s="85" t="str"/>
    </x:row>
    <x:row r="109">
      <x:c r="A109" s="85" t="str">
        <x:v>L0720-08</x:v>
      </x:c>
      <x:c r="B109" s="85" t="str">
        <x:v>LR098</x:v>
      </x:c>
      <x:c r="C109" s="93" t="n">
        <x:v>0.72</x:v>
      </x:c>
      <x:c r="D109" s="93" t="str">
        <x:v>Practical</x:v>
      </x:c>
      <x:c r="E109" s="93" t="n">
        <x:v>1</x:v>
      </x:c>
      <x:c r="F109" s="94" t="n">
        <x:v>398758</x:v>
      </x:c>
      <x:c r="G109" s="93" t="n">
        <x:v>0.8769462763550928</x:v>
      </x:c>
      <x:c r="H109" s="93" t="n">
        <x:v>83.466</x:v>
      </x:c>
      <x:c r="I109" s="95" t="n">
        <x:v>0.00017613498622440557</x:v>
      </x:c>
      <x:c r="J109" s="95" t="n">
        <x:v>3.474399203776573e-16</x:v>
      </x:c>
      <x:c r="K109" s="95" t="n">
        <x:v>506950916961.27454</x:v>
      </x:c>
      <x:c r="L109" s="95" t="n">
        <x:v>145524478356.26193</x:v>
      </x:c>
      <x:c r="M109" s="95" t="n">
        <x:v>18.47971272601604</x:v>
      </x:c>
      <x:c r="N109" s="95" t="n">
        <x:v>657587812562416100</x:v>
      </x:c>
      <x:c r="O109" s="95" t="n">
        <x:v>13.602268366912218</x:v>
      </x:c>
      <x:c r="P109" s="93"/>
      <x:c r="Q109" s="95"/>
      <x:c r="R109" s="95"/>
      <x:c r="S109" s="97" t="n">
        <x:v>1</x:v>
      </x:c>
      <x:c r="T109" s="93" t="n">
        <x:v>0.8720333333333404</x:v>
      </x:c>
      <x:c r="U109" s="98" t="n">
        <x:v>85.74932999385129</x:v>
      </x:c>
      <x:c r="V109" s="95" t="n">
        <x:v>0.0001771209953177852</x:v>
      </x:c>
      <x:c r="W109" s="95" t="n">
        <x:v>3.510744332108512e-16</x:v>
      </x:c>
      <x:c r="X109" s="95" t="n">
        <x:v>504511233409.60693</x:v>
      </x:c>
      <x:c r="Y109" s="99" t="n">
        <x:f>IFERROR(IF(ISBLANK(INDEX('Long_TCAD'!$H$2:$H$176,MATCH(B109,'Long_TCAD'!$A$2:$A$176,0))),"",INDEX('Long_TCAD'!$H$2:$H$176,MATCH(B109,'Long_TCAD'!$A$2:$A$176,0))),"")</x:f>
        <x:v>0.875</x:v>
      </x:c>
      <x:c r="Z109" s="100" t="n">
        <x:f>IFERROR(IF(ISBLANK(INDEX('Long_TCAD'!$I$2:$I$176,MATCH(B109,'Long_TCAD'!$A$2:$A$176,0))),"",INDEX('Long_TCAD'!$I$2:$I$176,MATCH(B109,'Long_TCAD'!$A$2:$A$176,0))),"")</x:f>
        <x:v>85.818</x:v>
      </x:c>
      <x:c r="AA109" s="96" t="n">
        <x:f>IFERROR(IF(ISBLANK(INDEX('Long_TCAD'!$J$2:$J$176,MATCH(B109,'Long_TCAD'!$A$2:$A$176,0))),"",INDEX('Long_TCAD'!$J$2:$J$176,MATCH(B109,'Long_TCAD'!$A$2:$A$176,0))),"")</x:f>
        <x:v>0.0001736</x:v>
      </x:c>
      <x:c r="AB109" s="96" t="n">
        <x:f>IFERROR(IF(ISBLANK(INDEX('Long_TCAD'!$K$2:$K$176,MATCH(B109,'Long_TCAD'!$A$2:$A$176,0))),"",INDEX('Long_TCAD'!$K$2:$K$176,MATCH(B109,'Long_TCAD'!$A$2:$A$176,0))),"")</x:f>
        <x:v>3.097e-16</x:v>
      </x:c>
      <x:c r="AC109" s="95" t="n">
        <x:f>IF(OR(NOT(ISNUMBER(AA109)),NOT(ISNUMBER(AB109))),"",AA109/AB109)</x:f>
        <x:v>560542460445.5925</x:v>
      </x:c>
      <x:c r="AD109" s="93" t="n">
        <x:f>IF(NOT(ISNUMBER(Y109)),"",ABS(Y109-T109)*1000)</x:f>
        <x:v>2.9666666666595676</x:v>
      </x:c>
      <x:c r="AE109" s="93" t="n">
        <x:f>IF(NOT(ISNUMBER(Z109)),"",ABS(Z109-U109))</x:f>
        <x:v>0.06867000614870733</x:v>
      </x:c>
      <x:c r="AF109" s="93" t="n">
        <x:f>IF(NOT(ISNUMBER(AA109)),"",ABS(LOG10(AA109)-LOG10(V109)))</x:f>
        <x:v>0.008720323185409828</x:v>
      </x:c>
      <x:c r="AG109" s="93" t="n">
        <x:f>IF(NOT(ISNUMBER(AB109)),"",ABS(LOG10(AB109)-LOG10(W109)))</x:f>
        <x:v>0.0544579980199007</x:v>
      </x:c>
      <x:c r="AH109" s="93" t="n">
        <x:f>IF(NOT(ISNUMBER(AC109)),"",ABS(LOG10(AC109)-LOG10(X109)))</x:f>
        <x:v>0.04573767483449842</x:v>
      </x:c>
      <x:c r="AI109" s="85" t="str">
        <x:f>IF(OR(NOT(ISNUMBER(Y109)),NOT(ISNUMBER(Z109)),NOT(ISNUMBER(AA109)),NOT(ISNUMBER(AB109))),"",IF(AND(Y109&gt;=0.3,Y109&lt;=1.2,Z109&lt;=200,AA109&gt;=1E-4,AB109&lt;=1E-6),"PASS","FAIL"))</x:f>
        <x:v>PASS</x:v>
      </x:c>
      <x:c r="AJ109" s="85" t="str"/>
    </x:row>
    <x:row r="110">
      <x:c r="A110" s="85" t="str">
        <x:v>L0720-09</x:v>
      </x:c>
      <x:c r="B110" s="85" t="str">
        <x:v>LR099</x:v>
      </x:c>
      <x:c r="C110" s="93" t="n">
        <x:v>0.72</x:v>
      </x:c>
      <x:c r="D110" s="93" t="str">
        <x:v>Practical</x:v>
      </x:c>
      <x:c r="E110" s="93" t="n">
        <x:v>1</x:v>
      </x:c>
      <x:c r="F110" s="94" t="n">
        <x:v>391626</x:v>
      </x:c>
      <x:c r="G110" s="93" t="n">
        <x:v>0.8749721503035991</x:v>
      </x:c>
      <x:c r="H110" s="93" t="n">
        <x:v>83.466</x:v>
      </x:c>
      <x:c r="I110" s="95" t="n">
        <x:v>0.00017400995402340564</x:v>
      </x:c>
      <x:c r="J110" s="95" t="n">
        <x:v>3.0305084120797665e-16</x:v>
      </x:c>
      <x:c r="K110" s="95" t="n">
        <x:v>574193931717.1758</x:v>
      </x:c>
      <x:c r="L110" s="95" t="n">
        <x:v>101810733188048.55</x:v>
      </x:c>
      <x:c r="M110" s="95" t="n">
        <x:v>26.6489262500213</x:v>
      </x:c>
      <x:c r="N110" s="95" t="n">
        <x:v>41755570863471230</x:v>
      </x:c>
      <x:c r="O110" s="95" t="n">
        <x:v>11.483320348553711</x:v>
      </x:c>
      <x:c r="P110" s="93"/>
      <x:c r="Q110" s="95"/>
      <x:c r="R110" s="95"/>
      <x:c r="S110" s="97" t="n">
        <x:v>1</x:v>
      </x:c>
      <x:c r="T110" s="93" t="n">
        <x:v>0.877093333333336</x:v>
      </x:c>
      <x:c r="U110" s="98" t="n">
        <x:v>86.16384660100167</x:v>
      </x:c>
      <x:c r="V110" s="95" t="n">
        <x:v>0.00017230668768339813</x:v>
      </x:c>
      <x:c r="W110" s="95" t="n">
        <x:v>3.013994361213286e-16</x:v>
      </x:c>
      <x:c r="X110" s="95" t="n">
        <x:v>571688818999.7672</x:v>
      </x:c>
      <x:c r="Y110" s="99" t="n">
        <x:f>IFERROR(IF(ISBLANK(INDEX('Long_TCAD'!$H$2:$H$176,MATCH(B110,'Long_TCAD'!$A$2:$A$176,0))),"",INDEX('Long_TCAD'!$H$2:$H$176,MATCH(B110,'Long_TCAD'!$A$2:$A$176,0))),"")</x:f>
        <x:v>0.879</x:v>
      </x:c>
      <x:c r="Z110" s="100" t="n">
        <x:f>IFERROR(IF(ISBLANK(INDEX('Long_TCAD'!$I$2:$I$176,MATCH(B110,'Long_TCAD'!$A$2:$A$176,0))),"",INDEX('Long_TCAD'!$I$2:$I$176,MATCH(B110,'Long_TCAD'!$A$2:$A$176,0))),"")</x:f>
        <x:v>86.232</x:v>
      </x:c>
      <x:c r="AA110" s="96" t="n">
        <x:f>IFERROR(IF(ISBLANK(INDEX('Long_TCAD'!$J$2:$J$176,MATCH(B110,'Long_TCAD'!$A$2:$A$176,0))),"",INDEX('Long_TCAD'!$J$2:$J$176,MATCH(B110,'Long_TCAD'!$A$2:$A$176,0))),"")</x:f>
        <x:v>0.0001737</x:v>
      </x:c>
      <x:c r="AB110" s="96" t="n">
        <x:f>IFERROR(IF(ISBLANK(INDEX('Long_TCAD'!$K$2:$K$176,MATCH(B110,'Long_TCAD'!$A$2:$A$176,0))),"",INDEX('Long_TCAD'!$K$2:$K$176,MATCH(B110,'Long_TCAD'!$A$2:$A$176,0))),"")</x:f>
        <x:v>3.244e-16</x:v>
      </x:c>
      <x:c r="AC110" s="95" t="n">
        <x:f>IF(OR(NOT(ISNUMBER(AA110)),NOT(ISNUMBER(AB110))),"",AA110/AB110)</x:f>
        <x:v>535450061652.2811</x:v>
      </x:c>
      <x:c r="AD110" s="93" t="n">
        <x:f>IF(NOT(ISNUMBER(Y110)),"",ABS(Y110-T110)*1000)</x:f>
        <x:v>1.9066666666640586</x:v>
      </x:c>
      <x:c r="AE110" s="93" t="n">
        <x:f>IF(NOT(ISNUMBER(Z110)),"",ABS(Z110-U110))</x:f>
        <x:v>0.06815339899833361</x:v>
      </x:c>
      <x:c r="AF110" s="93" t="n">
        <x:f>IF(NOT(ISNUMBER(AA110)),"",ABS(LOG10(AA110)-LOG10(V110)))</x:f>
        <x:v>0.0034976845415499724</x:v>
      </x:c>
      <x:c r="AG110" s="93" t="n">
        <x:f>IF(NOT(ISNUMBER(AB110)),"",ABS(LOG10(AB110)-LOG10(W110)))</x:f>
        <x:v>0.0319384100675002</x:v>
      </x:c>
      <x:c r="AH110" s="93" t="n">
        <x:f>IF(NOT(ISNUMBER(AC110)),"",ABS(LOG10(AC110)-LOG10(X110)))</x:f>
        <x:v>0.028440725525999966</x:v>
      </x:c>
      <x:c r="AI110" s="85" t="str">
        <x:f>IF(OR(NOT(ISNUMBER(Y110)),NOT(ISNUMBER(Z110)),NOT(ISNUMBER(AA110)),NOT(ISNUMBER(AB110))),"",IF(AND(Y110&gt;=0.3,Y110&lt;=1.2,Z110&lt;=200,AA110&gt;=1E-4,AB110&lt;=1E-6),"PASS","FAIL"))</x:f>
        <x:v>PASS</x:v>
      </x:c>
      <x:c r="AJ110" s="85" t="str"/>
    </x:row>
    <x:row r="111">
      <x:c r="A111" s="85" t="str">
        <x:v>L0720-10</x:v>
      </x:c>
      <x:c r="B111" s="85" t="str">
        <x:v>LR100</x:v>
      </x:c>
      <x:c r="C111" s="93" t="n">
        <x:v>0.72</x:v>
      </x:c>
      <x:c r="D111" s="93" t="str">
        <x:v>Practical</x:v>
      </x:c>
      <x:c r="E111" s="93" t="n">
        <x:v>1</x:v>
      </x:c>
      <x:c r="F111" s="94" t="n">
        <x:v>410700</x:v>
      </x:c>
      <x:c r="G111" s="93" t="n">
        <x:v>0.8640139249079997</x:v>
      </x:c>
      <x:c r="H111" s="93" t="n">
        <x:v>86.41176312127855</x:v>
      </x:c>
      <x:c r="I111" s="95" t="n">
        <x:v>0.00014474513898437346</x:v>
      </x:c>
      <x:c r="J111" s="95" t="n">
        <x:v>3.7088188199406695e-16</x:v>
      </x:c>
      <x:c r="K111" s="95" t="n">
        <x:v>390272876653.19</x:v>
      </x:c>
      <x:c r="L111" s="95" t="n">
        <x:v>6921137715431.238</x:v>
      </x:c>
      <x:c r="M111" s="95" t="n">
        <x:v>11.394055538607294</x:v>
      </x:c>
      <x:c r="N111" s="95" t="n">
        <x:v>110449724247230.22</x:v>
      </x:c>
      <x:c r="O111" s="95" t="n">
        <x:v>18.757062760129664</x:v>
      </x:c>
      <x:c r="P111" s="93"/>
      <x:c r="Q111" s="95"/>
      <x:c r="R111" s="95"/>
      <x:c r="S111" s="97" t="n">
        <x:v>1</x:v>
      </x:c>
      <x:c r="T111" s="93" t="n">
        <x:v>0.8715233333333384</x:v>
      </x:c>
      <x:c r="U111" s="98" t="n">
        <x:v>85.87863144650493</x:v>
      </x:c>
      <x:c r="V111" s="95" t="n">
        <x:v>0.00014953983917300034</x:v>
      </x:c>
      <x:c r="W111" s="95" t="n">
        <x:v>3.6776031560862244e-16</x:v>
      </x:c>
      <x:c r="X111" s="95" t="n">
        <x:v>406623098866.7725</x:v>
      </x:c>
      <x:c r="Y111" s="99" t="n">
        <x:f>IFERROR(IF(ISBLANK(INDEX('Long_TCAD'!$H$2:$H$176,MATCH(B111,'Long_TCAD'!$A$2:$A$176,0))),"",INDEX('Long_TCAD'!$H$2:$H$176,MATCH(B111,'Long_TCAD'!$A$2:$A$176,0))),"")</x:f>
        <x:v>0.871</x:v>
      </x:c>
      <x:c r="Z111" s="100" t="n">
        <x:f>IFERROR(IF(ISBLANK(INDEX('Long_TCAD'!$I$2:$I$176,MATCH(B111,'Long_TCAD'!$A$2:$A$176,0))),"",INDEX('Long_TCAD'!$I$2:$I$176,MATCH(B111,'Long_TCAD'!$A$2:$A$176,0))),"")</x:f>
        <x:v>86.377</x:v>
      </x:c>
      <x:c r="AA111" s="96" t="n">
        <x:f>IFERROR(IF(ISBLANK(INDEX('Long_TCAD'!$J$2:$J$176,MATCH(B111,'Long_TCAD'!$A$2:$A$176,0))),"",INDEX('Long_TCAD'!$J$2:$J$176,MATCH(B111,'Long_TCAD'!$A$2:$A$176,0))),"")</x:f>
        <x:v>0.000147</x:v>
      </x:c>
      <x:c r="AB111" s="96" t="n">
        <x:f>IFERROR(IF(ISBLANK(INDEX('Long_TCAD'!$K$2:$K$176,MATCH(B111,'Long_TCAD'!$A$2:$A$176,0))),"",INDEX('Long_TCAD'!$K$2:$K$176,MATCH(B111,'Long_TCAD'!$A$2:$A$176,0))),"")</x:f>
        <x:v>3.545e-16</x:v>
      </x:c>
      <x:c r="AC111" s="95" t="n">
        <x:f>IF(OR(NOT(ISNUMBER(AA111)),NOT(ISNUMBER(AB111))),"",AA111/AB111)</x:f>
        <x:v>414668547249.6474</x:v>
      </x:c>
      <x:c r="AD111" s="93" t="n">
        <x:f>IF(NOT(ISNUMBER(Y111)),"",ABS(Y111-T111)*1000)</x:f>
        <x:v>0.5233333333384271</x:v>
      </x:c>
      <x:c r="AE111" s="93" t="n">
        <x:f>IF(NOT(ISNUMBER(Z111)),"",ABS(Z111-U111))</x:f>
        <x:v>0.4983685534950695</x:v>
      </x:c>
      <x:c r="AF111" s="93" t="n">
        <x:f>IF(NOT(ISNUMBER(AA111)),"",ABS(LOG10(AA111)-LOG10(V111)))</x:f>
        <x:v>0.007439574488009804</x:v>
      </x:c>
      <x:c r="AG111" s="93" t="n">
        <x:f>IF(NOT(ISNUMBER(AB111)),"",ABS(LOG10(AB111)-LOG10(W111)))</x:f>
        <x:v>0.015948623930999162</x:v>
      </x:c>
      <x:c r="AH111" s="93" t="n">
        <x:f>IF(NOT(ISNUMBER(AC111)),"",ABS(LOG10(AC111)-LOG10(X111)))</x:f>
        <x:v>0.008509049442999128</x:v>
      </x:c>
      <x:c r="AI111" s="85" t="str">
        <x:f>IF(OR(NOT(ISNUMBER(Y111)),NOT(ISNUMBER(Z111)),NOT(ISNUMBER(AA111)),NOT(ISNUMBER(AB111))),"",IF(AND(Y111&gt;=0.3,Y111&lt;=1.2,Z111&lt;=200,AA111&gt;=1E-4,AB111&lt;=1E-6),"PASS","FAIL"))</x:f>
        <x:v>PASS</x:v>
      </x:c>
      <x:c r="AJ111" s="85" t="str"/>
    </x:row>
    <x:row r="112">
      <x:c r="A112" s="85" t="str">
        <x:v>L0720-11</x:v>
      </x:c>
      <x:c r="B112" s="85" t="str">
        <x:v>LR101</x:v>
      </x:c>
      <x:c r="C112" s="93" t="n">
        <x:v>0.72</x:v>
      </x:c>
      <x:c r="D112" s="93" t="str">
        <x:v>Practical</x:v>
      </x:c>
      <x:c r="E112" s="93" t="n">
        <x:v>1</x:v>
      </x:c>
      <x:c r="F112" s="94" t="n">
        <x:v>384789</x:v>
      </x:c>
      <x:c r="G112" s="93" t="n">
        <x:v>0.8755892741657283</x:v>
      </x:c>
      <x:c r="H112" s="93" t="n">
        <x:v>89.15320490947832</x:v>
      </x:c>
      <x:c r="I112" s="95" t="n">
        <x:v>0.0002068</x:v>
      </x:c>
      <x:c r="J112" s="95" t="n">
        <x:v>3.002962888159792e-16</x:v>
      </x:c>
      <x:c r="K112" s="95" t="n">
        <x:v>688653199196.6326</x:v>
      </x:c>
      <x:c r="L112" s="95" t="n">
        <x:v>842167737139808.1</x:v>
      </x:c>
      <x:c r="M112" s="95" t="n">
        <x:v>37.10661902855549</x:v>
      </x:c>
      <x:c r="N112" s="95" t="n">
        <x:v>811097704379864700</x:v>
      </x:c>
      <x:c r="O112" s="95" t="n">
        <x:v>12.279357948814035</x:v>
      </x:c>
      <x:c r="P112" s="93"/>
      <x:c r="Q112" s="95"/>
      <x:c r="R112" s="95"/>
      <x:c r="S112" s="97" t="n">
        <x:v>0.9933333333333333</x:v>
      </x:c>
      <x:c r="T112" s="93" t="n">
        <x:v>0.87924333333333</x:v>
      </x:c>
      <x:c r="U112" s="98" t="n">
        <x:v>86.61278931072273</x:v>
      </x:c>
      <x:c r="V112" s="95" t="n">
        <x:v>0.00017916939366596025</x:v>
      </x:c>
      <x:c r="W112" s="95" t="n">
        <x:v>2.9744263877825347e-16</x:v>
      </x:c>
      <x:c r="X112" s="95" t="n">
        <x:v>602366205470.4028</x:v>
      </x:c>
      <x:c r="Y112" s="99" t="n">
        <x:f>IFERROR(IF(ISBLANK(INDEX('Long_TCAD'!$H$2:$H$176,MATCH(B112,'Long_TCAD'!$A$2:$A$176,0))),"",INDEX('Long_TCAD'!$H$2:$H$176,MATCH(B112,'Long_TCAD'!$A$2:$A$176,0))),"")</x:f>
        <x:v>0.877</x:v>
      </x:c>
      <x:c r="Z112" s="100" t="n">
        <x:f>IFERROR(IF(ISBLANK(INDEX('Long_TCAD'!$I$2:$I$176,MATCH(B112,'Long_TCAD'!$A$2:$A$176,0))),"",INDEX('Long_TCAD'!$I$2:$I$176,MATCH(B112,'Long_TCAD'!$A$2:$A$176,0))),"")</x:f>
        <x:v>85.819</x:v>
      </x:c>
      <x:c r="AA112" s="96" t="n">
        <x:f>IFERROR(IF(ISBLANK(INDEX('Long_TCAD'!$J$2:$J$176,MATCH(B112,'Long_TCAD'!$A$2:$A$176,0))),"",INDEX('Long_TCAD'!$J$2:$J$176,MATCH(B112,'Long_TCAD'!$A$2:$A$176,0))),"")</x:f>
        <x:v>0.0001806</x:v>
      </x:c>
      <x:c r="AB112" s="96" t="n">
        <x:f>IFERROR(IF(ISBLANK(INDEX('Long_TCAD'!$K$2:$K$176,MATCH(B112,'Long_TCAD'!$A$2:$A$176,0))),"",INDEX('Long_TCAD'!$K$2:$K$176,MATCH(B112,'Long_TCAD'!$A$2:$A$176,0))),"")</x:f>
        <x:v>4.256e-16</x:v>
      </x:c>
      <x:c r="AC112" s="95" t="n">
        <x:f>IF(OR(NOT(ISNUMBER(AA112)),NOT(ISNUMBER(AB112))),"",AA112/AB112)</x:f>
        <x:v>424342105263.1579</x:v>
      </x:c>
      <x:c r="AD112" s="93" t="n">
        <x:f>IF(NOT(ISNUMBER(Y112)),"",ABS(Y112-T112)*1000)</x:f>
        <x:v>2.2433333333300443</x:v>
      </x:c>
      <x:c r="AE112" s="93" t="n">
        <x:f>IF(NOT(ISNUMBER(Z112)),"",ABS(Z112-U112))</x:f>
        <x:v>0.7937893107227296</x:v>
      </x:c>
      <x:c r="AF112" s="93" t="n">
        <x:f>IF(NOT(ISNUMBER(AA112)),"",ABS(LOG10(AA112)-LOG10(V112)))</x:f>
        <x:v>0.0034539219975102675</x:v>
      </x:c>
      <x:c r="AG112" s="93" t="n">
        <x:f>IF(NOT(ISNUMBER(AB112)),"",ABS(LOG10(AB112)-LOG10(W112)))</x:f>
        <x:v>0.15559839397539932</x:v>
      </x:c>
      <x:c r="AH112" s="93" t="n">
        <x:f>IF(NOT(ISNUMBER(AC112)),"",ABS(LOG10(AC112)-LOG10(X112)))</x:f>
        <x:v>0.15214447197790015</x:v>
      </x:c>
      <x:c r="AI112" s="85" t="str">
        <x:f>IF(OR(NOT(ISNUMBER(Y112)),NOT(ISNUMBER(Z112)),NOT(ISNUMBER(AA112)),NOT(ISNUMBER(AB112))),"",IF(AND(Y112&gt;=0.3,Y112&lt;=1.2,Z112&lt;=200,AA112&gt;=1E-4,AB112&lt;=1E-6),"PASS","FAIL"))</x:f>
        <x:v>PASS</x:v>
      </x:c>
      <x:c r="AJ112" s="85" t="str"/>
    </x:row>
    <x:row r="113">
      <x:c r="A113" s="85" t="str">
        <x:v>L0720-12</x:v>
      </x:c>
      <x:c r="B113" s="85" t="str">
        <x:v>LR102</x:v>
      </x:c>
      <x:c r="C113" s="93" t="n">
        <x:v>0.72</x:v>
      </x:c>
      <x:c r="D113" s="93" t="str">
        <x:v>Practical</x:v>
      </x:c>
      <x:c r="E113" s="93" t="n">
        <x:v>1</x:v>
      </x:c>
      <x:c r="F113" s="94" t="n">
        <x:v>408804</x:v>
      </x:c>
      <x:c r="G113" s="93" t="n">
        <x:v>0.8755245215069164</x:v>
      </x:c>
      <x:c r="H113" s="93" t="n">
        <x:v>84.18259207944374</x:v>
      </x:c>
      <x:c r="I113" s="95" t="n">
        <x:v>0.0001418802951257181</x:v>
      </x:c>
      <x:c r="J113" s="95" t="n">
        <x:v>3.6368990484960413e-16</x:v>
      </x:c>
      <x:c r="K113" s="95" t="n">
        <x:v>390113371951.8268</x:v>
      </x:c>
      <x:c r="L113" s="95" t="n">
        <x:v>5308246949908.831</x:v>
      </x:c>
      <x:c r="M113" s="95" t="n">
        <x:v>15.128745093633153</x:v>
      </x:c>
      <x:c r="N113" s="95" t="n">
        <x:v>874834426258291.4</x:v>
      </x:c>
      <x:c r="O113" s="95" t="n">
        <x:v>23.041443431847775</x:v>
      </x:c>
      <x:c r="P113" s="93"/>
      <x:c r="Q113" s="95"/>
      <x:c r="R113" s="95"/>
      <x:c r="S113" s="97" t="n">
        <x:v>1</x:v>
      </x:c>
      <x:c r="T113" s="93" t="n">
        <x:v>0.8739033333333308</x:v>
      </x:c>
      <x:c r="U113" s="98" t="n">
        <x:v>86.2142956772719</x:v>
      </x:c>
      <x:c r="V113" s="95" t="n">
        <x:v>0.00014033873258766108</x:v>
      </x:c>
      <x:c r="W113" s="95" t="n">
        <x:v>3.5250418401952616e-16</x:v>
      </x:c>
      <x:c r="X113" s="95" t="n">
        <x:v>398119338577.51697</x:v>
      </x:c>
      <x:c r="Y113" s="99" t="n">
        <x:f>IFERROR(IF(ISBLANK(INDEX('Long_TCAD'!$H$2:$H$176,MATCH(B113,'Long_TCAD'!$A$2:$A$176,0))),"",INDEX('Long_TCAD'!$H$2:$H$176,MATCH(B113,'Long_TCAD'!$A$2:$A$176,0))),"")</x:f>
        <x:v>0.88</x:v>
      </x:c>
      <x:c r="Z113" s="100" t="n">
        <x:f>IFERROR(IF(ISBLANK(INDEX('Long_TCAD'!$I$2:$I$176,MATCH(B113,'Long_TCAD'!$A$2:$A$176,0))),"",INDEX('Long_TCAD'!$I$2:$I$176,MATCH(B113,'Long_TCAD'!$A$2:$A$176,0))),"")</x:f>
        <x:v>86.324</x:v>
      </x:c>
      <x:c r="AA113" s="96" t="n">
        <x:f>IFERROR(IF(ISBLANK(INDEX('Long_TCAD'!$J$2:$J$176,MATCH(B113,'Long_TCAD'!$A$2:$A$176,0))),"",INDEX('Long_TCAD'!$J$2:$J$176,MATCH(B113,'Long_TCAD'!$A$2:$A$176,0))),"")</x:f>
        <x:v>0.0001591</x:v>
      </x:c>
      <x:c r="AB113" s="96" t="n">
        <x:f>IFERROR(IF(ISBLANK(INDEX('Long_TCAD'!$K$2:$K$176,MATCH(B113,'Long_TCAD'!$A$2:$A$176,0))),"",INDEX('Long_TCAD'!$K$2:$K$176,MATCH(B113,'Long_TCAD'!$A$2:$A$176,0))),"")</x:f>
        <x:v>3.026e-16</x:v>
      </x:c>
      <x:c r="AC113" s="95" t="n">
        <x:f>IF(OR(NOT(ISNUMBER(AA113)),NOT(ISNUMBER(AB113))),"",AA113/AB113)</x:f>
        <x:v>525776602775.94183</x:v>
      </x:c>
      <x:c r="AD113" s="93" t="n">
        <x:f>IF(NOT(ISNUMBER(Y113)),"",ABS(Y113-T113)*1000)</x:f>
        <x:v>6.096666666669193</x:v>
      </x:c>
      <x:c r="AE113" s="93" t="n">
        <x:f>IF(NOT(ISNUMBER(Z113)),"",ABS(Z113-U113))</x:f>
        <x:v>0.10970432272809205</x:v>
      </x:c>
      <x:c r="AF113" s="93" t="n">
        <x:f>IF(NOT(ISNUMBER(AA113)),"",ABS(LOG10(AA113)-LOG10(V113)))</x:f>
        <x:v>0.054492629590529695</x:v>
      </x:c>
      <x:c r="AG113" s="93" t="n">
        <x:f>IF(NOT(ISNUMBER(AB113)),"",ABS(LOG10(AB113)-LOG10(W113)))</x:f>
        <x:v>0.06629535249359897</x:v>
      </x:c>
      <x:c r="AH113" s="93" t="n">
        <x:f>IF(NOT(ISNUMBER(AC113)),"",ABS(LOG10(AC113)-LOG10(X113)))</x:f>
        <x:v>0.12078798208409935</x:v>
      </x:c>
      <x:c r="AI113" s="85" t="str">
        <x:f>IF(OR(NOT(ISNUMBER(Y113)),NOT(ISNUMBER(Z113)),NOT(ISNUMBER(AA113)),NOT(ISNUMBER(AB113))),"",IF(AND(Y113&gt;=0.3,Y113&lt;=1.2,Z113&lt;=200,AA113&gt;=1E-4,AB113&lt;=1E-6),"PASS","FAIL"))</x:f>
        <x:v>PASS</x:v>
      </x:c>
      <x:c r="AJ113" s="85" t="str"/>
    </x:row>
    <x:row r="114">
      <x:c r="A114" s="85" t="str">
        <x:v>L0720-13</x:v>
      </x:c>
      <x:c r="B114" s="85" t="str">
        <x:v>LR103</x:v>
      </x:c>
      <x:c r="C114" s="93" t="n">
        <x:v>0.72</x:v>
      </x:c>
      <x:c r="D114" s="93" t="str">
        <x:v>Practical</x:v>
      </x:c>
      <x:c r="E114" s="93" t="n">
        <x:v>1</x:v>
      </x:c>
      <x:c r="F114" s="94" t="n">
        <x:v>409621</x:v>
      </x:c>
      <x:c r="G114" s="93" t="n">
        <x:v>0.8707061848324309</x:v>
      </x:c>
      <x:c r="H114" s="93" t="n">
        <x:v>83.466</x:v>
      </x:c>
      <x:c r="I114" s="95" t="n">
        <x:v>0.00016150486839072004</x:v>
      </x:c>
      <x:c r="J114" s="95" t="n">
        <x:v>3.780052586997663e-16</x:v>
      </x:c>
      <x:c r="K114" s="95" t="n">
        <x:v>427255612650.0784</x:v>
      </x:c>
      <x:c r="L114" s="95" t="n">
        <x:v>143412264128831.53</x:v>
      </x:c>
      <x:c r="M114" s="95" t="n">
        <x:v>16.44512818092278</x:v>
      </x:c>
      <x:c r="N114" s="95" t="n">
        <x:v>194159763541805.53</x:v>
      </x:c>
      <x:c r="O114" s="95" t="n">
        <x:v>38.10770078092303</x:v>
      </x:c>
      <x:c r="P114" s="93"/>
      <x:c r="Q114" s="95"/>
      <x:c r="R114" s="95"/>
      <x:c r="S114" s="97" t="n">
        <x:v>1</x:v>
      </x:c>
      <x:c r="T114" s="93" t="n">
        <x:v>0.8674566666666711</x:v>
      </x:c>
      <x:c r="U114" s="98" t="n">
        <x:v>85.84503082658631</x:v>
      </x:c>
      <x:c r="V114" s="95" t="n">
        <x:v>0.0001661349603824258</x:v>
      </x:c>
      <x:c r="W114" s="95" t="n">
        <x:v>3.7608992066178136e-16</x:v>
      </x:c>
      <x:c r="X114" s="95" t="n">
        <x:v>441742655825.73645</x:v>
      </x:c>
      <x:c r="Y114" s="99" t="n">
        <x:f>IFERROR(IF(ISBLANK(INDEX('Long_TCAD'!$H$2:$H$176,MATCH(B114,'Long_TCAD'!$A$2:$A$176,0))),"",INDEX('Long_TCAD'!$H$2:$H$176,MATCH(B114,'Long_TCAD'!$A$2:$A$176,0))),"")</x:f>
        <x:v>0.873</x:v>
      </x:c>
      <x:c r="Z114" s="100" t="n">
        <x:f>IFERROR(IF(ISBLANK(INDEX('Long_TCAD'!$I$2:$I$176,MATCH(B114,'Long_TCAD'!$A$2:$A$176,0))),"",INDEX('Long_TCAD'!$I$2:$I$176,MATCH(B114,'Long_TCAD'!$A$2:$A$176,0))),"")</x:f>
        <x:v>86.123</x:v>
      </x:c>
      <x:c r="AA114" s="96" t="n">
        <x:f>IFERROR(IF(ISBLANK(INDEX('Long_TCAD'!$J$2:$J$176,MATCH(B114,'Long_TCAD'!$A$2:$A$176,0))),"",INDEX('Long_TCAD'!$J$2:$J$176,MATCH(B114,'Long_TCAD'!$A$2:$A$176,0))),"")</x:f>
        <x:v>0.0001686</x:v>
      </x:c>
      <x:c r="AB114" s="96" t="n">
        <x:f>IFERROR(IF(ISBLANK(INDEX('Long_TCAD'!$K$2:$K$176,MATCH(B114,'Long_TCAD'!$A$2:$A$176,0))),"",INDEX('Long_TCAD'!$K$2:$K$176,MATCH(B114,'Long_TCAD'!$A$2:$A$176,0))),"")</x:f>
        <x:v>3.327e-16</x:v>
      </x:c>
      <x:c r="AC114" s="95" t="n">
        <x:f>IF(OR(NOT(ISNUMBER(AA114)),NOT(ISNUMBER(AB114))),"",AA114/AB114)</x:f>
        <x:v>506762849413.88635</x:v>
      </x:c>
      <x:c r="AD114" s="93" t="n">
        <x:f>IF(NOT(ISNUMBER(Y114)),"",ABS(Y114-T114)*1000)</x:f>
        <x:v>5.543333333328904</x:v>
      </x:c>
      <x:c r="AE114" s="93" t="n">
        <x:f>IF(NOT(ISNUMBER(Z114)),"",ABS(Z114-U114))</x:f>
        <x:v>0.27796917341369465</x:v>
      </x:c>
      <x:c r="AF114" s="93" t="n">
        <x:f>IF(NOT(ISNUMBER(AA114)),"",ABS(LOG10(AA114)-LOG10(V114)))</x:f>
        <x:v>0.006396538056810286</x:v>
      </x:c>
      <x:c r="AG114" s="93" t="n">
        <x:f>IF(NOT(ISNUMBER(AB114)),"",ABS(LOG10(AB114)-LOG10(W114)))</x:f>
        <x:v>0.05323889346920119</x:v>
      </x:c>
      <x:c r="AH114" s="93" t="n">
        <x:f>IF(NOT(ISNUMBER(AC114)),"",ABS(LOG10(AC114)-LOG10(X114)))</x:f>
        <x:v>0.05963543152599904</x:v>
      </x:c>
      <x:c r="AI114" s="85" t="str">
        <x:f>IF(OR(NOT(ISNUMBER(Y114)),NOT(ISNUMBER(Z114)),NOT(ISNUMBER(AA114)),NOT(ISNUMBER(AB114))),"",IF(AND(Y114&gt;=0.3,Y114&lt;=1.2,Z114&lt;=200,AA114&gt;=1E-4,AB114&lt;=1E-6),"PASS","FAIL"))</x:f>
        <x:v>PASS</x:v>
      </x:c>
      <x:c r="AJ114" s="85" t="str"/>
    </x:row>
    <x:row r="115">
      <x:c r="A115" s="85" t="str">
        <x:v>L0720-14</x:v>
      </x:c>
      <x:c r="B115" s="85" t="str">
        <x:v>LR104</x:v>
      </x:c>
      <x:c r="C115" s="93" t="n">
        <x:v>0.72</x:v>
      </x:c>
      <x:c r="D115" s="93" t="str">
        <x:v>Practical</x:v>
      </x:c>
      <x:c r="E115" s="93" t="n">
        <x:v>1</x:v>
      </x:c>
      <x:c r="F115" s="94" t="n">
        <x:v>404815</x:v>
      </x:c>
      <x:c r="G115" s="93" t="n">
        <x:v>0.8811451950410677</x:v>
      </x:c>
      <x:c r="H115" s="93" t="n">
        <x:v>90.28574306208583</x:v>
      </x:c>
      <x:c r="I115" s="95" t="n">
        <x:v>0.00017295463552179126</x:v>
      </x:c>
      <x:c r="J115" s="95" t="n">
        <x:v>4.3613288925007127e-16</x:v>
      </x:c>
      <x:c r="K115" s="95" t="n">
        <x:v>396564074356.29553</x:v>
      </x:c>
      <x:c r="L115" s="95" t="n">
        <x:v>557282291767696.8</x:v>
      </x:c>
      <x:c r="M115" s="95" t="n">
        <x:v>55.653847900891584</x:v>
      </x:c>
      <x:c r="N115" s="95" t="n">
        <x:v>893399182181471.9</x:v>
      </x:c>
      <x:c r="O115" s="95" t="n">
        <x:v>19.561454701661305</x:v>
      </x:c>
      <x:c r="P115" s="93"/>
      <x:c r="Q115" s="95"/>
      <x:c r="R115" s="95"/>
      <x:c r="S115" s="97" t="n">
        <x:v>0.89</x:v>
      </x:c>
      <x:c r="T115" s="93" t="n">
        <x:v>0.8745766666666657</x:v>
      </x:c>
      <x:c r="U115" s="98" t="n">
        <x:v>86.14157924842202</x:v>
      </x:c>
      <x:c r="V115" s="95" t="n">
        <x:v>0.00017460501562888158</x:v>
      </x:c>
      <x:c r="W115" s="95" t="n">
        <x:v>4.3526972589599105e-16</x:v>
      </x:c>
      <x:c r="X115" s="95" t="n">
        <x:v>401142108538.47424</x:v>
      </x:c>
      <x:c r="Y115" s="99" t="n">
        <x:f>IFERROR(IF(ISBLANK(INDEX('Long_TCAD'!$H$2:$H$176,MATCH(B115,'Long_TCAD'!$A$2:$A$176,0))),"",INDEX('Long_TCAD'!$H$2:$H$176,MATCH(B115,'Long_TCAD'!$A$2:$A$176,0))),"")</x:f>
        <x:v>0.872</x:v>
      </x:c>
      <x:c r="Z115" s="100" t="n">
        <x:f>IFERROR(IF(ISBLANK(INDEX('Long_TCAD'!$I$2:$I$176,MATCH(B115,'Long_TCAD'!$A$2:$A$176,0))),"",INDEX('Long_TCAD'!$I$2:$I$176,MATCH(B115,'Long_TCAD'!$A$2:$A$176,0))),"")</x:f>
        <x:v>86.09</x:v>
      </x:c>
      <x:c r="AA115" s="96" t="n">
        <x:f>IFERROR(IF(ISBLANK(INDEX('Long_TCAD'!$J$2:$J$176,MATCH(B115,'Long_TCAD'!$A$2:$A$176,0))),"",INDEX('Long_TCAD'!$J$2:$J$176,MATCH(B115,'Long_TCAD'!$A$2:$A$176,0))),"")</x:f>
        <x:v>0.0001803</x:v>
      </x:c>
      <x:c r="AB115" s="96" t="n">
        <x:f>IFERROR(IF(ISBLANK(INDEX('Long_TCAD'!$K$2:$K$176,MATCH(B115,'Long_TCAD'!$A$2:$A$176,0))),"",INDEX('Long_TCAD'!$K$2:$K$176,MATCH(B115,'Long_TCAD'!$A$2:$A$176,0))),"")</x:f>
        <x:v>5.06e-16</x:v>
      </x:c>
      <x:c r="AC115" s="95" t="n">
        <x:f>IF(OR(NOT(ISNUMBER(AA115)),NOT(ISNUMBER(AB115))),"",AA115/AB115)</x:f>
        <x:v>356324110671.9367</x:v>
      </x:c>
      <x:c r="AD115" s="93" t="n">
        <x:f>IF(NOT(ISNUMBER(Y115)),"",ABS(Y115-T115)*1000)</x:f>
        <x:v>2.5766666666656723</x:v>
      </x:c>
      <x:c r="AE115" s="93" t="n">
        <x:f>IF(NOT(ISNUMBER(Z115)),"",ABS(Z115-U115))</x:f>
        <x:v>0.05157924842201567</x:v>
      </x:c>
      <x:c r="AF115" s="93" t="n">
        <x:f>IF(NOT(ISNUMBER(AA115)),"",ABS(LOG10(AA115)-LOG10(V115)))</x:f>
        <x:v>0.013939011816419988</x:v>
      </x:c>
      <x:c r="AG115" s="93" t="n">
        <x:f>IF(NOT(ISNUMBER(AB115)),"",ABS(LOG10(AB115)-LOG10(W115)))</x:f>
        <x:v>0.06539205490529909</x:v>
      </x:c>
      <x:c r="AH115" s="93" t="n">
        <x:f>IF(NOT(ISNUMBER(AC115)),"",ABS(LOG10(AC115)-LOG10(X115)))</x:f>
        <x:v>0.051453043088899975</x:v>
      </x:c>
      <x:c r="AI115" s="85" t="str">
        <x:f>IF(OR(NOT(ISNUMBER(Y115)),NOT(ISNUMBER(Z115)),NOT(ISNUMBER(AA115)),NOT(ISNUMBER(AB115))),"",IF(AND(Y115&gt;=0.3,Y115&lt;=1.2,Z115&lt;=200,AA115&gt;=1E-4,AB115&lt;=1E-6),"PASS","FAIL"))</x:f>
        <x:v>PASS</x:v>
      </x:c>
      <x:c r="AJ115" s="85" t="str"/>
    </x:row>
    <x:row r="116">
      <x:c r="A116" s="85" t="str">
        <x:v>L0720-15</x:v>
      </x:c>
      <x:c r="B116" s="85" t="str">
        <x:v>LR105</x:v>
      </x:c>
      <x:c r="C116" s="93" t="n">
        <x:v>0.72</x:v>
      </x:c>
      <x:c r="D116" s="93" t="str">
        <x:v>Practical</x:v>
      </x:c>
      <x:c r="E116" s="93" t="n">
        <x:v>1</x:v>
      </x:c>
      <x:c r="F116" s="94" t="n">
        <x:v>363349</x:v>
      </x:c>
      <x:c r="G116" s="93" t="n">
        <x:v>0.8709218594363004</x:v>
      </x:c>
      <x:c r="H116" s="93" t="n">
        <x:v>84.48292793197656</x:v>
      </x:c>
      <x:c r="I116" s="95" t="n">
        <x:v>0.00015720087670050283</x:v>
      </x:c>
      <x:c r="J116" s="95" t="n">
        <x:v>6.102228826834107e-16</x:v>
      </x:c>
      <x:c r="K116" s="95" t="n">
        <x:v>257612228517.5925</x:v>
      </x:c>
      <x:c r="L116" s="95" t="n">
        <x:v>1479577148978.3</x:v>
      </x:c>
      <x:c r="M116" s="95" t="n">
        <x:v>12.92403374804988</x:v>
      </x:c>
      <x:c r="N116" s="95" t="n">
        <x:v>386685159523860.6</x:v>
      </x:c>
      <x:c r="O116" s="95" t="n">
        <x:v>36.43878202365405</x:v>
      </x:c>
      <x:c r="P116" s="93"/>
      <x:c r="Q116" s="95"/>
      <x:c r="R116" s="95"/>
      <x:c r="S116" s="97" t="n">
        <x:v>0.9966666666666667</x:v>
      </x:c>
      <x:c r="T116" s="93" t="n">
        <x:v>0.8620799999999972</x:v>
      </x:c>
      <x:c r="U116" s="98" t="n">
        <x:v>85.94593852601598</x:v>
      </x:c>
      <x:c r="V116" s="95" t="n">
        <x:v>0.00014600387860171354</x:v>
      </x:c>
      <x:c r="W116" s="95" t="n">
        <x:v>5.955071627044317e-16</x:v>
      </x:c>
      <x:c r="X116" s="95" t="n">
        <x:v>245175688464.69055</x:v>
      </x:c>
      <x:c r="Y116" s="99" t="n">
        <x:f>IFERROR(IF(ISBLANK(INDEX('Long_TCAD'!$H$2:$H$176,MATCH(B116,'Long_TCAD'!$A$2:$A$176,0))),"",INDEX('Long_TCAD'!$H$2:$H$176,MATCH(B116,'Long_TCAD'!$A$2:$A$176,0))),"")</x:f>
        <x:v>0.874</x:v>
      </x:c>
      <x:c r="Z116" s="100" t="n">
        <x:f>IFERROR(IF(ISBLANK(INDEX('Long_TCAD'!$I$2:$I$176,MATCH(B116,'Long_TCAD'!$A$2:$A$176,0))),"",INDEX('Long_TCAD'!$I$2:$I$176,MATCH(B116,'Long_TCAD'!$A$2:$A$176,0))),"")</x:f>
        <x:v>86.136</x:v>
      </x:c>
      <x:c r="AA116" s="96" t="n">
        <x:f>IFERROR(IF(ISBLANK(INDEX('Long_TCAD'!$J$2:$J$176,MATCH(B116,'Long_TCAD'!$A$2:$A$176,0))),"",INDEX('Long_TCAD'!$J$2:$J$176,MATCH(B116,'Long_TCAD'!$A$2:$A$176,0))),"")</x:f>
        <x:v>0.0001575</x:v>
      </x:c>
      <x:c r="AB116" s="96" t="n">
        <x:f>IFERROR(IF(ISBLANK(INDEX('Long_TCAD'!$K$2:$K$176,MATCH(B116,'Long_TCAD'!$A$2:$A$176,0))),"",INDEX('Long_TCAD'!$K$2:$K$176,MATCH(B116,'Long_TCAD'!$A$2:$A$176,0))),"")</x:f>
        <x:v>4.898e-16</x:v>
      </x:c>
      <x:c r="AC116" s="95" t="n">
        <x:f>IF(OR(NOT(ISNUMBER(AA116)),NOT(ISNUMBER(AB116))),"",AA116/AB116)</x:f>
        <x:v>321559820334.83057</x:v>
      </x:c>
      <x:c r="AD116" s="93" t="n">
        <x:f>IF(NOT(ISNUMBER(Y116)),"",ABS(Y116-T116)*1000)</x:f>
        <x:v>11.920000000002817</x:v>
      </x:c>
      <x:c r="AE116" s="93" t="n">
        <x:f>IF(NOT(ISNUMBER(Z116)),"",ABS(Z116-U116))</x:f>
        <x:v>0.19006147398401652</x:v>
      </x:c>
      <x:c r="AF116" s="93" t="n">
        <x:f>IF(NOT(ISNUMBER(AA116)),"",ABS(LOG10(AA116)-LOG10(V116)))</x:f>
        <x:v>0.03291616512921003</x:v>
      </x:c>
      <x:c r="AG116" s="93" t="n">
        <x:f>IF(NOT(ISNUMBER(AB116)),"",ABS(LOG10(AB116)-LOG10(W116)))</x:f>
        <x:v>0.08486820871489975</x:v>
      </x:c>
      <x:c r="AH116" s="93" t="n">
        <x:f>IF(NOT(ISNUMBER(AC116)),"",ABS(LOG10(AC116)-LOG10(X116)))</x:f>
        <x:v>0.1177843738441009</x:v>
      </x:c>
      <x:c r="AI116" s="85" t="str">
        <x:f>IF(OR(NOT(ISNUMBER(Y116)),NOT(ISNUMBER(Z116)),NOT(ISNUMBER(AA116)),NOT(ISNUMBER(AB116))),"",IF(AND(Y116&gt;=0.3,Y116&lt;=1.2,Z116&lt;=200,AA116&gt;=1E-4,AB116&lt;=1E-6),"PASS","FAIL"))</x:f>
        <x:v>PASS</x:v>
      </x:c>
      <x:c r="AJ116" s="85" t="str"/>
    </x:row>
    <x:row r="117">
      <x:c r="A117" s="85" t="str">
        <x:v>L0720-16</x:v>
      </x:c>
      <x:c r="B117" s="85" t="str">
        <x:v>LR106</x:v>
      </x:c>
      <x:c r="C117" s="93" t="n">
        <x:v>0.72</x:v>
      </x:c>
      <x:c r="D117" s="93" t="str">
        <x:v>Practical</x:v>
      </x:c>
      <x:c r="E117" s="93" t="n">
        <x:v>1</x:v>
      </x:c>
      <x:c r="F117" s="94" t="n">
        <x:v>387215</x:v>
      </x:c>
      <x:c r="G117" s="93" t="n">
        <x:v>0.878680791261872</x:v>
      </x:c>
      <x:c r="H117" s="93" t="n">
        <x:v>87.0536745077846</x:v>
      </x:c>
      <x:c r="I117" s="95" t="n">
        <x:v>0.00018292696722553106</x:v>
      </x:c>
      <x:c r="J117" s="95" t="n">
        <x:v>2.934e-16</x:v>
      </x:c>
      <x:c r="K117" s="95" t="n">
        <x:v>623472962595.5387</x:v>
      </x:c>
      <x:c r="L117" s="95" t="n">
        <x:v>653004076154077.8</x:v>
      </x:c>
      <x:c r="M117" s="95" t="n">
        <x:v>33.54236944973967</x:v>
      </x:c>
      <x:c r="N117" s="95" t="n">
        <x:v>994102777924713200</x:v>
      </x:c>
      <x:c r="O117" s="95" t="n">
        <x:v>11.149794767521634</x:v>
      </x:c>
      <x:c r="P117" s="93"/>
      <x:c r="Q117" s="95"/>
      <x:c r="R117" s="95"/>
      <x:c r="S117" s="97" t="n">
        <x:v>0.9933333333333333</x:v>
      </x:c>
      <x:c r="T117" s="93" t="n">
        <x:v>0.8793233333333298</x:v>
      </x:c>
      <x:c r="U117" s="98" t="n">
        <x:v>86.69936516797465</x:v>
      </x:c>
      <x:c r="V117" s="95" t="n">
        <x:v>0.00017889177889656764</x:v>
      </x:c>
      <x:c r="W117" s="95" t="n">
        <x:v>2.9543770876859734e-16</x:v>
      </x:c>
      <x:c r="X117" s="95" t="n">
        <x:v>605514372698.7311</x:v>
      </x:c>
      <x:c r="Y117" s="99" t="n">
        <x:f>IFERROR(IF(ISBLANK(INDEX('Long_TCAD'!$H$2:$H$176,MATCH(B117,'Long_TCAD'!$A$2:$A$176,0))),"",INDEX('Long_TCAD'!$H$2:$H$176,MATCH(B117,'Long_TCAD'!$A$2:$A$176,0))),"")</x:f>
        <x:v>0.878</x:v>
      </x:c>
      <x:c r="Z117" s="100" t="n">
        <x:f>IFERROR(IF(ISBLANK(INDEX('Long_TCAD'!$I$2:$I$176,MATCH(B117,'Long_TCAD'!$A$2:$A$176,0))),"",INDEX('Long_TCAD'!$I$2:$I$176,MATCH(B117,'Long_TCAD'!$A$2:$A$176,0))),"")</x:f>
        <x:v>86.097</x:v>
      </x:c>
      <x:c r="AA117" s="96" t="n">
        <x:f>IFERROR(IF(ISBLANK(INDEX('Long_TCAD'!$J$2:$J$176,MATCH(B117,'Long_TCAD'!$A$2:$A$176,0))),"",INDEX('Long_TCAD'!$J$2:$J$176,MATCH(B117,'Long_TCAD'!$A$2:$A$176,0))),"")</x:f>
        <x:v>0.000179</x:v>
      </x:c>
      <x:c r="AB117" s="96" t="n">
        <x:f>IFERROR(IF(ISBLANK(INDEX('Long_TCAD'!$K$2:$K$176,MATCH(B117,'Long_TCAD'!$A$2:$A$176,0))),"",INDEX('Long_TCAD'!$K$2:$K$176,MATCH(B117,'Long_TCAD'!$A$2:$A$176,0))),"")</x:f>
        <x:v>4.724e-16</x:v>
      </x:c>
      <x:c r="AC117" s="95" t="n">
        <x:f>IF(OR(NOT(ISNUMBER(AA117)),NOT(ISNUMBER(AB117))),"",AA117/AB117)</x:f>
        <x:v>378916172734.9703</x:v>
      </x:c>
      <x:c r="AD117" s="93" t="n">
        <x:f>IF(NOT(ISNUMBER(Y117)),"",ABS(Y117-T117)*1000)</x:f>
        <x:v>1.3233333333297903</x:v>
      </x:c>
      <x:c r="AE117" s="93" t="n">
        <x:f>IF(NOT(ISNUMBER(Z117)),"",ABS(Z117-U117))</x:f>
        <x:v>0.6023651679746536</x:v>
      </x:c>
      <x:c r="AF117" s="93" t="n">
        <x:f>IF(NOT(ISNUMBER(AA117)),"",ABS(LOG10(AA117)-LOG10(V117)))</x:f>
        <x:v>0.00026264827665034574</x:v>
      </x:c>
      <x:c r="AG117" s="93" t="n">
        <x:f>IF(NOT(ISNUMBER(AB117)),"",ABS(LOG10(AB117)-LOG10(W117)))</x:f>
        <x:v>0.20384396240379843</x:v>
      </x:c>
      <x:c r="AH117" s="93" t="n">
        <x:f>IF(NOT(ISNUMBER(AC117)),"",ABS(LOG10(AC117)-LOG10(X117)))</x:f>
        <x:v>0.2035813141271987</x:v>
      </x:c>
      <x:c r="AI117" s="85" t="str">
        <x:f>IF(OR(NOT(ISNUMBER(Y117)),NOT(ISNUMBER(Z117)),NOT(ISNUMBER(AA117)),NOT(ISNUMBER(AB117))),"",IF(AND(Y117&gt;=0.3,Y117&lt;=1.2,Z117&lt;=200,AA117&gt;=1E-4,AB117&lt;=1E-6),"PASS","FAIL"))</x:f>
        <x:v>PASS</x:v>
      </x:c>
      <x:c r="AJ117" s="85" t="str"/>
    </x:row>
    <x:row r="118">
      <x:c r="A118" s="85" t="str">
        <x:v>L0720-17</x:v>
      </x:c>
      <x:c r="B118" s="85" t="str">
        <x:v>LR107</x:v>
      </x:c>
      <x:c r="C118" s="93" t="n">
        <x:v>0.72</x:v>
      </x:c>
      <x:c r="D118" s="93" t="str">
        <x:v>Practical</x:v>
      </x:c>
      <x:c r="E118" s="93" t="n">
        <x:v>1</x:v>
      </x:c>
      <x:c r="F118" s="94" t="n">
        <x:v>402046</x:v>
      </x:c>
      <x:c r="G118" s="93" t="n">
        <x:v>0.885</x:v>
      </x:c>
      <x:c r="H118" s="93" t="n">
        <x:v>85.9745845032071</x:v>
      </x:c>
      <x:c r="I118" s="95" t="n">
        <x:v>0.00015550270673917656</x:v>
      </x:c>
      <x:c r="J118" s="95" t="n">
        <x:v>3.0563260188271853e-16</x:v>
      </x:c>
      <x:c r="K118" s="95" t="n">
        <x:v>508789657193.8623</x:v>
      </x:c>
      <x:c r="L118" s="95" t="n">
        <x:v>5101693198135.121</x:v>
      </x:c>
      <x:c r="M118" s="95" t="n">
        <x:v>42.1544157365492</x:v>
      </x:c>
      <x:c r="N118" s="95" t="n">
        <x:v>23243610783356904</x:v>
      </x:c>
      <x:c r="O118" s="95" t="n">
        <x:v>17.406373614911324</x:v>
      </x:c>
      <x:c r="P118" s="93"/>
      <x:c r="Q118" s="95"/>
      <x:c r="R118" s="95"/>
      <x:c r="S118" s="97" t="n">
        <x:v>1</x:v>
      </x:c>
      <x:c r="T118" s="93" t="n">
        <x:v>0.8771799999999962</x:v>
      </x:c>
      <x:c r="U118" s="98" t="n">
        <x:v>86.24257523195796</x:v>
      </x:c>
      <x:c r="V118" s="95" t="n">
        <x:v>0.00015185022029892337</x:v>
      </x:c>
      <x:c r="W118" s="95" t="n">
        <x:v>3.0138009826255344e-16</x:v>
      </x:c>
      <x:c r="X118" s="95" t="n">
        <x:v>503849528135.1854</x:v>
      </x:c>
      <x:c r="Y118" s="99" t="n">
        <x:f>IFERROR(IF(ISBLANK(INDEX('Long_TCAD'!$H$2:$H$176,MATCH(B118,'Long_TCAD'!$A$2:$A$176,0))),"",INDEX('Long_TCAD'!$H$2:$H$176,MATCH(B118,'Long_TCAD'!$A$2:$A$176,0))),"")</x:f>
        <x:v>0.875</x:v>
      </x:c>
      <x:c r="Z118" s="100" t="n">
        <x:f>IFERROR(IF(ISBLANK(INDEX('Long_TCAD'!$I$2:$I$176,MATCH(B118,'Long_TCAD'!$A$2:$A$176,0))),"",INDEX('Long_TCAD'!$I$2:$I$176,MATCH(B118,'Long_TCAD'!$A$2:$A$176,0))),"")</x:f>
        <x:v>85.971</x:v>
      </x:c>
      <x:c r="AA118" s="96" t="n">
        <x:f>IFERROR(IF(ISBLANK(INDEX('Long_TCAD'!$J$2:$J$176,MATCH(B118,'Long_TCAD'!$A$2:$A$176,0))),"",INDEX('Long_TCAD'!$J$2:$J$176,MATCH(B118,'Long_TCAD'!$A$2:$A$176,0))),"")</x:f>
        <x:v>0.0001683</x:v>
      </x:c>
      <x:c r="AB118" s="96" t="n">
        <x:f>IFERROR(IF(ISBLANK(INDEX('Long_TCAD'!$K$2:$K$176,MATCH(B118,'Long_TCAD'!$A$2:$A$176,0))),"",INDEX('Long_TCAD'!$K$2:$K$176,MATCH(B118,'Long_TCAD'!$A$2:$A$176,0))),"")</x:f>
        <x:v>2.986e-16</x:v>
      </x:c>
      <x:c r="AC118" s="95" t="n">
        <x:f>IF(OR(NOT(ISNUMBER(AA118)),NOT(ISNUMBER(AB118))),"",AA118/AB118)</x:f>
        <x:v>563630274614.8694</x:v>
      </x:c>
      <x:c r="AD118" s="93" t="n">
        <x:f>IF(NOT(ISNUMBER(Y118)),"",ABS(Y118-T118)*1000)</x:f>
        <x:v>2.179999999996185</x:v>
      </x:c>
      <x:c r="AE118" s="93" t="n">
        <x:f>IF(NOT(ISNUMBER(Z118)),"",ABS(Z118-U118))</x:f>
        <x:v>0.27157523195795363</x:v>
      </x:c>
      <x:c r="AF118" s="93" t="n">
        <x:f>IF(NOT(ISNUMBER(AA118)),"",ABS(LOG10(AA118)-LOG10(V118)))</x:f>
        <x:v>0.044668689662019645</x:v>
      </x:c>
      <x:c r="AG118" s="93" t="n">
        <x:f>IF(NOT(ISNUMBER(AB118)),"",ABS(LOG10(AB118)-LOG10(W118)))</x:f>
        <x:v>0.0040247667523996</x:v>
      </x:c>
      <x:c r="AH118" s="93" t="n">
        <x:f>IF(NOT(ISNUMBER(AC118)),"",ABS(LOG10(AC118)-LOG10(X118)))</x:f>
        <x:v>0.048693456414399705</x:v>
      </x:c>
      <x:c r="AI118" s="85" t="str">
        <x:f>IF(OR(NOT(ISNUMBER(Y118)),NOT(ISNUMBER(Z118)),NOT(ISNUMBER(AA118)),NOT(ISNUMBER(AB118))),"",IF(AND(Y118&gt;=0.3,Y118&lt;=1.2,Z118&lt;=200,AA118&gt;=1E-4,AB118&lt;=1E-6),"PASS","FAIL"))</x:f>
        <x:v>PASS</x:v>
      </x:c>
      <x:c r="AJ118" s="85" t="str"/>
    </x:row>
    <x:row r="119">
      <x:c r="A119" s="85" t="str">
        <x:v>L0720-18</x:v>
      </x:c>
      <x:c r="B119" s="85" t="str">
        <x:v>LR108</x:v>
      </x:c>
      <x:c r="C119" s="93" t="n">
        <x:v>0.72</x:v>
      </x:c>
      <x:c r="D119" s="93" t="str">
        <x:v>Practical</x:v>
      </x:c>
      <x:c r="E119" s="93" t="n">
        <x:v>1</x:v>
      </x:c>
      <x:c r="F119" s="94" t="n">
        <x:v>398749</x:v>
      </x:c>
      <x:c r="G119" s="93" t="n">
        <x:v>0.8825444606785445</x:v>
      </x:c>
      <x:c r="H119" s="93" t="n">
        <x:v>83.466</x:v>
      </x:c>
      <x:c r="I119" s="95" t="n">
        <x:v>0.00017465197716509277</x:v>
      </x:c>
      <x:c r="J119" s="95" t="n">
        <x:v>3.362610596978649e-16</x:v>
      </x:c>
      <x:c r="K119" s="95" t="n">
        <x:v>519394000964.66693</x:v>
      </x:c>
      <x:c r="L119" s="95" t="n">
        <x:v>745170794882663.9</x:v>
      </x:c>
      <x:c r="M119" s="95" t="n">
        <x:v>12.230616631029065</x:v>
      </x:c>
      <x:c r="N119" s="95" t="n">
        <x:v>105627747413008200</x:v>
      </x:c>
      <x:c r="O119" s="95" t="n">
        <x:v>11.450222484238207</x:v>
      </x:c>
      <x:c r="P119" s="93"/>
      <x:c r="Q119" s="95"/>
      <x:c r="R119" s="95"/>
      <x:c r="S119" s="97" t="n">
        <x:v>0.9966666666666667</x:v>
      </x:c>
      <x:c r="T119" s="93" t="n">
        <x:v>0.8836133333333301</x:v>
      </x:c>
      <x:c r="U119" s="98" t="n">
        <x:v>86.16469783746449</x:v>
      </x:c>
      <x:c r="V119" s="95" t="n">
        <x:v>0.0001749019163935804</x:v>
      </x:c>
      <x:c r="W119" s="95" t="n">
        <x:v>3.370758834579113e-16</x:v>
      </x:c>
      <x:c r="X119" s="95" t="n">
        <x:v>518879946554.8812</x:v>
      </x:c>
      <x:c r="Y119" s="99" t="n">
        <x:f>IFERROR(IF(ISBLANK(INDEX('Long_TCAD'!$H$2:$H$176,MATCH(B119,'Long_TCAD'!$A$2:$A$176,0))),"",INDEX('Long_TCAD'!$H$2:$H$176,MATCH(B119,'Long_TCAD'!$A$2:$A$176,0))),"")</x:f>
        <x:v>0.884</x:v>
      </x:c>
      <x:c r="Z119" s="100" t="n">
        <x:f>IFERROR(IF(ISBLANK(INDEX('Long_TCAD'!$I$2:$I$176,MATCH(B119,'Long_TCAD'!$A$2:$A$176,0))),"",INDEX('Long_TCAD'!$I$2:$I$176,MATCH(B119,'Long_TCAD'!$A$2:$A$176,0))),"")</x:f>
        <x:v>86.057</x:v>
      </x:c>
      <x:c r="AA119" s="96" t="n">
        <x:f>IFERROR(IF(ISBLANK(INDEX('Long_TCAD'!$J$2:$J$176,MATCH(B119,'Long_TCAD'!$A$2:$A$176,0))),"",INDEX('Long_TCAD'!$J$2:$J$176,MATCH(B119,'Long_TCAD'!$A$2:$A$176,0))),"")</x:f>
        <x:v>0.0001742</x:v>
      </x:c>
      <x:c r="AB119" s="96" t="n">
        <x:f>IFERROR(IF(ISBLANK(INDEX('Long_TCAD'!$K$2:$K$176,MATCH(B119,'Long_TCAD'!$A$2:$A$176,0))),"",INDEX('Long_TCAD'!$K$2:$K$176,MATCH(B119,'Long_TCAD'!$A$2:$A$176,0))),"")</x:f>
        <x:v>3.969e-16</x:v>
      </x:c>
      <x:c r="AC119" s="95" t="n">
        <x:f>IF(OR(NOT(ISNUMBER(AA119)),NOT(ISNUMBER(AB119))),"",AA119/AB119)</x:f>
        <x:v>438901486520.5342</x:v>
      </x:c>
      <x:c r="AD119" s="93" t="n">
        <x:f>IF(NOT(ISNUMBER(Y119)),"",ABS(Y119-T119)*1000)</x:f>
        <x:v>0.38666666666986593</x:v>
      </x:c>
      <x:c r="AE119" s="93" t="n">
        <x:f>IF(NOT(ISNUMBER(Z119)),"",ABS(Z119-U119))</x:f>
        <x:v>0.10769783746448525</x:v>
      </x:c>
      <x:c r="AF119" s="93" t="n">
        <x:f>IF(NOT(ISNUMBER(AA119)),"",ABS(LOG10(AA119)-LOG10(V119)))</x:f>
        <x:v>0.0017464173810597394</x:v>
      </x:c>
      <x:c r="AG119" s="93" t="n">
        <x:f>IF(NOT(ISNUMBER(AB119)),"",ABS(LOG10(AB119)-LOG10(W119)))</x:f>
        <x:v>0.07095341745069916</x:v>
      </x:c>
      <x:c r="AH119" s="93" t="n">
        <x:f>IF(NOT(ISNUMBER(AC119)),"",ABS(LOG10(AC119)-LOG10(X119)))</x:f>
        <x:v>0.07269983483169895</x:v>
      </x:c>
      <x:c r="AI119" s="85" t="str">
        <x:f>IF(OR(NOT(ISNUMBER(Y119)),NOT(ISNUMBER(Z119)),NOT(ISNUMBER(AA119)),NOT(ISNUMBER(AB119))),"",IF(AND(Y119&gt;=0.3,Y119&lt;=1.2,Z119&lt;=200,AA119&gt;=1E-4,AB119&lt;=1E-6),"PASS","FAIL"))</x:f>
        <x:v>PASS</x:v>
      </x:c>
      <x:c r="AJ119" s="85" t="str"/>
    </x:row>
    <x:row r="120">
      <x:c r="A120" s="85" t="str">
        <x:v>L0720-19</x:v>
      </x:c>
      <x:c r="B120" s="85" t="str">
        <x:v>LR109</x:v>
      </x:c>
      <x:c r="C120" s="93" t="n">
        <x:v>0.72</x:v>
      </x:c>
      <x:c r="D120" s="93" t="str">
        <x:v>Practical</x:v>
      </x:c>
      <x:c r="E120" s="93" t="n">
        <x:v>1</x:v>
      </x:c>
      <x:c r="F120" s="94" t="n">
        <x:v>411389</x:v>
      </x:c>
      <x:c r="G120" s="93" t="n">
        <x:v>0.8674875274395601</x:v>
      </x:c>
      <x:c r="H120" s="93" t="n">
        <x:v>91.597</x:v>
      </x:c>
      <x:c r="I120" s="95" t="n">
        <x:v>0.0001351363649199675</x:v>
      </x:c>
      <x:c r="J120" s="95" t="n">
        <x:v>4.259387949638295e-16</x:v>
      </x:c>
      <x:c r="K120" s="95" t="n">
        <x:v>317267096864.10046</x:v>
      </x:c>
      <x:c r="L120" s="95" t="n">
        <x:v>5253039627139.952</x:v>
      </x:c>
      <x:c r="M120" s="95" t="n">
        <x:v>25.392507810174354</x:v>
      </x:c>
      <x:c r="N120" s="95" t="n">
        <x:v>390053330930518.9</x:v>
      </x:c>
      <x:c r="O120" s="95" t="n">
        <x:v>27.89826842400357</x:v>
      </x:c>
      <x:c r="P120" s="93"/>
      <x:c r="Q120" s="95"/>
      <x:c r="R120" s="95"/>
      <x:c r="S120" s="97" t="n">
        <x:v>1</x:v>
      </x:c>
      <x:c r="T120" s="93" t="n">
        <x:v>0.8655400000000005</x:v>
      </x:c>
      <x:c r="U120" s="98" t="n">
        <x:v>86.25448179793797</x:v>
      </x:c>
      <x:c r="V120" s="95" t="n">
        <x:v>0.00013157432744823216</x:v>
      </x:c>
      <x:c r="W120" s="95" t="n">
        <x:v>4.421115968256157e-16</x:v>
      </x:c>
      <x:c r="X120" s="95" t="n">
        <x:v>297604334274.2934</x:v>
      </x:c>
      <x:c r="Y120" s="99" t="n">
        <x:f>IFERROR(IF(ISBLANK(INDEX('Long_TCAD'!$H$2:$H$176,MATCH(B120,'Long_TCAD'!$A$2:$A$176,0))),"",INDEX('Long_TCAD'!$H$2:$H$176,MATCH(B120,'Long_TCAD'!$A$2:$A$176,0))),"")</x:f>
        <x:v>0.876</x:v>
      </x:c>
      <x:c r="Z120" s="100" t="n">
        <x:f>IFERROR(IF(ISBLANK(INDEX('Long_TCAD'!$I$2:$I$176,MATCH(B120,'Long_TCAD'!$A$2:$A$176,0))),"",INDEX('Long_TCAD'!$I$2:$I$176,MATCH(B120,'Long_TCAD'!$A$2:$A$176,0))),"")</x:f>
        <x:v>86.232</x:v>
      </x:c>
      <x:c r="AA120" s="96" t="n">
        <x:f>IFERROR(IF(ISBLANK(INDEX('Long_TCAD'!$J$2:$J$176,MATCH(B120,'Long_TCAD'!$A$2:$A$176,0))),"",INDEX('Long_TCAD'!$J$2:$J$176,MATCH(B120,'Long_TCAD'!$A$2:$A$176,0))),"")</x:f>
        <x:v>0.0001583</x:v>
      </x:c>
      <x:c r="AB120" s="96" t="n">
        <x:f>IFERROR(IF(ISBLANK(INDEX('Long_TCAD'!$K$2:$K$176,MATCH(B120,'Long_TCAD'!$A$2:$A$176,0))),"",INDEX('Long_TCAD'!$K$2:$K$176,MATCH(B120,'Long_TCAD'!$A$2:$A$176,0))),"")</x:f>
        <x:v>4.348e-16</x:v>
      </x:c>
      <x:c r="AC120" s="95" t="n">
        <x:f>IF(OR(NOT(ISNUMBER(AA120)),NOT(ISNUMBER(AB120))),"",AA120/AB120)</x:f>
        <x:v>364075436982.5207</x:v>
      </x:c>
      <x:c r="AD120" s="93" t="n">
        <x:f>IF(NOT(ISNUMBER(Y120)),"",ABS(Y120-T120)*1000)</x:f>
        <x:v>10.45999999999947</x:v>
      </x:c>
      <x:c r="AE120" s="93" t="n">
        <x:f>IF(NOT(ISNUMBER(Z120)),"",ABS(Z120-U120))</x:f>
        <x:v>0.022481797937970782</x:v>
      </x:c>
      <x:c r="AF120" s="93" t="n">
        <x:f>IF(NOT(ISNUMBER(AA120)),"",ABS(LOG10(AA120)-LOG10(V120)))</x:f>
        <x:v>0.0803097560952799</x:v>
      </x:c>
      <x:c r="AG120" s="93" t="n">
        <x:f>IF(NOT(ISNUMBER(AB120)),"",ABS(LOG10(AB120)-LOG10(W120)))</x:f>
        <x:v>0.007242371419499349</x:v>
      </x:c>
      <x:c r="AH120" s="93" t="n">
        <x:f>IF(NOT(ISNUMBER(AC120)),"",ABS(LOG10(AC120)-LOG10(X120)))</x:f>
        <x:v>0.08755212751480101</x:v>
      </x:c>
      <x:c r="AI120" s="85" t="str">
        <x:f>IF(OR(NOT(ISNUMBER(Y120)),NOT(ISNUMBER(Z120)),NOT(ISNUMBER(AA120)),NOT(ISNUMBER(AB120))),"",IF(AND(Y120&gt;=0.3,Y120&lt;=1.2,Z120&lt;=200,AA120&gt;=1E-4,AB120&lt;=1E-6),"PASS","FAIL"))</x:f>
        <x:v>PASS</x:v>
      </x:c>
      <x:c r="AJ120" s="85" t="str"/>
    </x:row>
    <x:row r="121">
      <x:c r="A121" s="85" t="str">
        <x:v>L0720-20</x:v>
      </x:c>
      <x:c r="B121" s="85" t="str">
        <x:v>LR110</x:v>
      </x:c>
      <x:c r="C121" s="93" t="n">
        <x:v>0.72</x:v>
      </x:c>
      <x:c r="D121" s="93" t="str">
        <x:v>Practical</x:v>
      </x:c>
      <x:c r="E121" s="93" t="n">
        <x:v>1</x:v>
      </x:c>
      <x:c r="F121" s="94" t="n">
        <x:v>401028</x:v>
      </x:c>
      <x:c r="G121" s="93" t="n">
        <x:v>0.8686605147258875</x:v>
      </x:c>
      <x:c r="H121" s="93" t="n">
        <x:v>91.597</x:v>
      </x:c>
      <x:c r="I121" s="95" t="n">
        <x:v>0.00020028267955673999</x:v>
      </x:c>
      <x:c r="J121" s="95" t="n">
        <x:v>3.715916360026119e-16</x:v>
      </x:c>
      <x:c r="K121" s="95" t="n">
        <x:v>538985973180.87164</x:v>
      </x:c>
      <x:c r="L121" s="95" t="n">
        <x:v>798488395670806.8</x:v>
      </x:c>
      <x:c r="M121" s="95" t="n">
        <x:v>22.02264446620876</x:v>
      </x:c>
      <x:c r="N121" s="95" t="n">
        <x:v>938251676168059600</x:v>
      </x:c>
      <x:c r="O121" s="95" t="n">
        <x:v>16.690502936817275</x:v>
      </x:c>
      <x:c r="P121" s="93"/>
      <x:c r="Q121" s="95"/>
      <x:c r="R121" s="95"/>
      <x:c r="S121" s="97" t="n">
        <x:v>1</x:v>
      </x:c>
      <x:c r="T121" s="93" t="n">
        <x:v>0.8765800000000022</x:v>
      </x:c>
      <x:c r="U121" s="98" t="n">
        <x:v>87.53889036851591</x:v>
      </x:c>
      <x:c r="V121" s="95" t="n">
        <x:v>0.0001808506645160609</x:v>
      </x:c>
      <x:c r="W121" s="95" t="n">
        <x:v>3.4788370010148017e-16</x:v>
      </x:c>
      <x:c r="X121" s="95" t="n">
        <x:v>519859552095.443</x:v>
      </x:c>
      <x:c r="Y121" s="99" t="n">
        <x:f>IFERROR(IF(ISBLANK(INDEX('Long_TCAD'!$H$2:$H$176,MATCH(B121,'Long_TCAD'!$A$2:$A$176,0))),"",INDEX('Long_TCAD'!$H$2:$H$176,MATCH(B121,'Long_TCAD'!$A$2:$A$176,0))),"")</x:f>
        <x:v>0.876</x:v>
      </x:c>
      <x:c r="Z121" s="100" t="n">
        <x:f>IFERROR(IF(ISBLANK(INDEX('Long_TCAD'!$I$2:$I$176,MATCH(B121,'Long_TCAD'!$A$2:$A$176,0))),"",INDEX('Long_TCAD'!$I$2:$I$176,MATCH(B121,'Long_TCAD'!$A$2:$A$176,0))),"")</x:f>
        <x:v>88.807</x:v>
      </x:c>
      <x:c r="AA121" s="96" t="n">
        <x:f>IFERROR(IF(ISBLANK(INDEX('Long_TCAD'!$J$2:$J$176,MATCH(B121,'Long_TCAD'!$A$2:$A$176,0))),"",INDEX('Long_TCAD'!$J$2:$J$176,MATCH(B121,'Long_TCAD'!$A$2:$A$176,0))),"")</x:f>
        <x:v>0.0001813</x:v>
      </x:c>
      <x:c r="AB121" s="96" t="n">
        <x:f>IFERROR(IF(ISBLANK(INDEX('Long_TCAD'!$K$2:$K$176,MATCH(B121,'Long_TCAD'!$A$2:$A$176,0))),"",INDEX('Long_TCAD'!$K$2:$K$176,MATCH(B121,'Long_TCAD'!$A$2:$A$176,0))),"")</x:f>
        <x:v>4.279e-16</x:v>
      </x:c>
      <x:c r="AC121" s="95" t="n">
        <x:f>IF(OR(NOT(ISNUMBER(AA121)),NOT(ISNUMBER(AB121))),"",AA121/AB121)</x:f>
        <x:v>423697125496.6113</x:v>
      </x:c>
      <x:c r="AD121" s="93" t="n">
        <x:f>IF(NOT(ISNUMBER(Y121)),"",ABS(Y121-T121)*1000)</x:f>
        <x:v>0.5800000000022454</x:v>
      </x:c>
      <x:c r="AE121" s="93" t="n">
        <x:f>IF(NOT(ISNUMBER(Z121)),"",ABS(Z121-U121))</x:f>
        <x:v>1.2681096314840943</x:v>
      </x:c>
      <x:c r="AF121" s="93" t="n">
        <x:f>IF(NOT(ISNUMBER(AA121)),"",ABS(LOG10(AA121)-LOG10(V121)))</x:f>
        <x:v>0.0010776952271900342</x:v>
      </x:c>
      <x:c r="AG121" s="93" t="n">
        <x:f>IF(NOT(ISNUMBER(AB121)),"",ABS(LOG10(AB121)-LOG10(W121)))</x:f>
        <x:v>0.08990820588759973</x:v>
      </x:c>
      <x:c r="AH121" s="93" t="n">
        <x:f>IF(NOT(ISNUMBER(AC121)),"",ABS(LOG10(AC121)-LOG10(X121)))</x:f>
        <x:v>0.08883051066039904</x:v>
      </x:c>
      <x:c r="AI121" s="85" t="str">
        <x:f>IF(OR(NOT(ISNUMBER(Y121)),NOT(ISNUMBER(Z121)),NOT(ISNUMBER(AA121)),NOT(ISNUMBER(AB121))),"",IF(AND(Y121&gt;=0.3,Y121&lt;=1.2,Z121&lt;=200,AA121&gt;=1E-4,AB121&lt;=1E-6),"PASS","FAIL"))</x:f>
        <x:v>PASS</x:v>
      </x:c>
      <x:c r="AJ121" s="85" t="str"/>
    </x:row>
    <x:row r="122">
      <x:c r="A122" s="85" t="str">
        <x:v>L0720-21</x:v>
      </x:c>
      <x:c r="B122" s="85" t="str">
        <x:v>LR110</x:v>
      </x:c>
      <x:c r="C122" s="93" t="n">
        <x:v>0.72</x:v>
      </x:c>
      <x:c r="D122" s="93" t="str">
        <x:v>Practical</x:v>
      </x:c>
      <x:c r="E122" s="93" t="n">
        <x:v>1</x:v>
      </x:c>
      <x:c r="F122" s="94" t="n">
        <x:v>403408</x:v>
      </x:c>
      <x:c r="G122" s="93" t="n">
        <x:v>0.8705277576749642</x:v>
      </x:c>
      <x:c r="H122" s="93" t="n">
        <x:v>91.597</x:v>
      </x:c>
      <x:c r="I122" s="95" t="n">
        <x:v>0.00017901674560961202</x:v>
      </x:c>
      <x:c r="J122" s="95" t="n">
        <x:v>3.6747712585331354e-16</x:v>
      </x:c>
      <x:c r="K122" s="95" t="n">
        <x:v>487150717732.21185</x:v>
      </x:c>
      <x:c r="L122" s="95" t="n">
        <x:v>798488395670806.8</x:v>
      </x:c>
      <x:c r="M122" s="95" t="n">
        <x:v>22.02264446620876</x:v>
      </x:c>
      <x:c r="N122" s="95" t="n">
        <x:v>938251676168059600</x:v>
      </x:c>
      <x:c r="O122" s="95" t="n">
        <x:v>16.690502936817275</x:v>
      </x:c>
      <x:c r="P122" s="93"/>
      <x:c r="Q122" s="95"/>
      <x:c r="R122" s="95"/>
      <x:c r="S122" s="97" t="n">
        <x:v>1</x:v>
      </x:c>
      <x:c r="T122" s="93" t="n">
        <x:v>0.8765800000000022</x:v>
      </x:c>
      <x:c r="U122" s="98" t="n">
        <x:v>87.53889036851591</x:v>
      </x:c>
      <x:c r="V122" s="95" t="n">
        <x:v>0.0001808506645160609</x:v>
      </x:c>
      <x:c r="W122" s="95" t="n">
        <x:v>3.4788370010148017e-16</x:v>
      </x:c>
      <x:c r="X122" s="95" t="n">
        <x:v>519859552095.443</x:v>
      </x:c>
      <x:c r="Y122" s="99" t="n">
        <x:f>IFERROR(IF(ISBLANK(INDEX('Long_TCAD'!$H$2:$H$176,MATCH(B122,'Long_TCAD'!$A$2:$A$176,0))),"",INDEX('Long_TCAD'!$H$2:$H$176,MATCH(B122,'Long_TCAD'!$A$2:$A$176,0))),"")</x:f>
        <x:v>0.876</x:v>
      </x:c>
      <x:c r="Z122" s="100" t="n">
        <x:f>IFERROR(IF(ISBLANK(INDEX('Long_TCAD'!$I$2:$I$176,MATCH(B122,'Long_TCAD'!$A$2:$A$176,0))),"",INDEX('Long_TCAD'!$I$2:$I$176,MATCH(B122,'Long_TCAD'!$A$2:$A$176,0))),"")</x:f>
        <x:v>88.807</x:v>
      </x:c>
      <x:c r="AA122" s="96" t="n">
        <x:f>IFERROR(IF(ISBLANK(INDEX('Long_TCAD'!$J$2:$J$176,MATCH(B122,'Long_TCAD'!$A$2:$A$176,0))),"",INDEX('Long_TCAD'!$J$2:$J$176,MATCH(B122,'Long_TCAD'!$A$2:$A$176,0))),"")</x:f>
        <x:v>0.0001813</x:v>
      </x:c>
      <x:c r="AB122" s="96" t="n">
        <x:f>IFERROR(IF(ISBLANK(INDEX('Long_TCAD'!$K$2:$K$176,MATCH(B122,'Long_TCAD'!$A$2:$A$176,0))),"",INDEX('Long_TCAD'!$K$2:$K$176,MATCH(B122,'Long_TCAD'!$A$2:$A$176,0))),"")</x:f>
        <x:v>4.279e-16</x:v>
      </x:c>
      <x:c r="AC122" s="95" t="n">
        <x:f>IF(OR(NOT(ISNUMBER(AA122)),NOT(ISNUMBER(AB122))),"",AA122/AB122)</x:f>
        <x:v>423697125496.6113</x:v>
      </x:c>
      <x:c r="AD122" s="93" t="n">
        <x:f>IF(NOT(ISNUMBER(Y122)),"",ABS(Y122-T122)*1000)</x:f>
        <x:v>0.5800000000022454</x:v>
      </x:c>
      <x:c r="AE122" s="93" t="n">
        <x:f>IF(NOT(ISNUMBER(Z122)),"",ABS(Z122-U122))</x:f>
        <x:v>1.2681096314840943</x:v>
      </x:c>
      <x:c r="AF122" s="93" t="n">
        <x:f>IF(NOT(ISNUMBER(AA122)),"",ABS(LOG10(AA122)-LOG10(V122)))</x:f>
        <x:v>0.0010776952271900342</x:v>
      </x:c>
      <x:c r="AG122" s="93" t="n">
        <x:f>IF(NOT(ISNUMBER(AB122)),"",ABS(LOG10(AB122)-LOG10(W122)))</x:f>
        <x:v>0.08990820588759973</x:v>
      </x:c>
      <x:c r="AH122" s="93" t="n">
        <x:f>IF(NOT(ISNUMBER(AC122)),"",ABS(LOG10(AC122)-LOG10(X122)))</x:f>
        <x:v>0.08883051066039904</x:v>
      </x:c>
      <x:c r="AI122" s="85" t="str">
        <x:f>IF(OR(NOT(ISNUMBER(Y122)),NOT(ISNUMBER(Z122)),NOT(ISNUMBER(AA122)),NOT(ISNUMBER(AB122))),"",IF(AND(Y122&gt;=0.3,Y122&lt;=1.2,Z122&lt;=200,AA122&gt;=1E-4,AB122&lt;=1E-6),"PASS","FAIL"))</x:f>
        <x:v>PASS</x:v>
      </x:c>
      <x:c r="AJ122" s="85" t="str"/>
    </x:row>
    <x:row r="123">
      <x:c r="A123" s="85" t="str">
        <x:v>L0720-22</x:v>
      </x:c>
      <x:c r="B123" s="85" t="str">
        <x:v>LR111</x:v>
      </x:c>
      <x:c r="C123" s="93" t="n">
        <x:v>0.72</x:v>
      </x:c>
      <x:c r="D123" s="93" t="str">
        <x:v>Practical</x:v>
      </x:c>
      <x:c r="E123" s="93" t="n">
        <x:v>1</x:v>
      </x:c>
      <x:c r="F123" s="94" t="n">
        <x:v>405714</x:v>
      </x:c>
      <x:c r="G123" s="93" t="n">
        <x:v>0.8797000236692676</x:v>
      </x:c>
      <x:c r="H123" s="93" t="n">
        <x:v>83.466</x:v>
      </x:c>
      <x:c r="I123" s="95" t="n">
        <x:v>0.00014382202694138396</x:v>
      </x:c>
      <x:c r="J123" s="95" t="n">
        <x:v>3.3434976245340883e-16</x:v>
      </x:c>
      <x:c r="K123" s="95" t="n">
        <x:v>430154416399.27997</x:v>
      </x:c>
      <x:c r="L123" s="95" t="n">
        <x:v>10819576804758.693</x:v>
      </x:c>
      <x:c r="M123" s="95" t="n">
        <x:v>13.232867418166979</x:v>
      </x:c>
      <x:c r="N123" s="95" t="n">
        <x:v>155022335337911.7</x:v>
      </x:c>
      <x:c r="O123" s="95" t="n">
        <x:v>12.515898496764782</x:v>
      </x:c>
      <x:c r="P123" s="93"/>
      <x:c r="Q123" s="95"/>
      <x:c r="R123" s="95"/>
      <x:c r="S123" s="97" t="n">
        <x:v>1</x:v>
      </x:c>
      <x:c r="T123" s="93" t="n">
        <x:v>0.870783333333336</x:v>
      </x:c>
      <x:c r="U123" s="98" t="n">
        <x:v>85.90903160502717</x:v>
      </x:c>
      <x:c r="V123" s="95" t="n">
        <x:v>0.00014777045549711534</x:v>
      </x:c>
      <x:c r="W123" s="95" t="n">
        <x:v>3.2315420643643137e-16</x:v>
      </x:c>
      <x:c r="X123" s="95" t="n">
        <x:v>457275358184.7115</x:v>
      </x:c>
      <x:c r="Y123" s="99" t="n">
        <x:f>IFERROR(IF(ISBLANK(INDEX('Long_TCAD'!$H$2:$H$176,MATCH(B123,'Long_TCAD'!$A$2:$A$176,0))),"",INDEX('Long_TCAD'!$H$2:$H$176,MATCH(B123,'Long_TCAD'!$A$2:$A$176,0))),"")</x:f>
        <x:v>0.872</x:v>
      </x:c>
      <x:c r="Z123" s="100" t="n">
        <x:f>IFERROR(IF(ISBLANK(INDEX('Long_TCAD'!$I$2:$I$176,MATCH(B123,'Long_TCAD'!$A$2:$A$176,0))),"",INDEX('Long_TCAD'!$I$2:$I$176,MATCH(B123,'Long_TCAD'!$A$2:$A$176,0))),"")</x:f>
        <x:v>86.369</x:v>
      </x:c>
      <x:c r="AA123" s="96" t="n">
        <x:f>IFERROR(IF(ISBLANK(INDEX('Long_TCAD'!$J$2:$J$176,MATCH(B123,'Long_TCAD'!$A$2:$A$176,0))),"",INDEX('Long_TCAD'!$J$2:$J$176,MATCH(B123,'Long_TCAD'!$A$2:$A$176,0))),"")</x:f>
        <x:v>0.0001515</x:v>
      </x:c>
      <x:c r="AB123" s="96" t="n">
        <x:f>IFERROR(IF(ISBLANK(INDEX('Long_TCAD'!$K$2:$K$176,MATCH(B123,'Long_TCAD'!$A$2:$A$176,0))),"",INDEX('Long_TCAD'!$K$2:$K$176,MATCH(B123,'Long_TCAD'!$A$2:$A$176,0))),"")</x:f>
        <x:v>3.116e-16</x:v>
      </x:c>
      <x:c r="AC123" s="95" t="n">
        <x:f>IF(OR(NOT(ISNUMBER(AA123)),NOT(ISNUMBER(AB123))),"",AA123/AB123)</x:f>
        <x:v>486200256739.4094</x:v>
      </x:c>
      <x:c r="AD123" s="93" t="n">
        <x:f>IF(NOT(ISNUMBER(Y123)),"",ABS(Y123-T123)*1000)</x:f>
        <x:v>1.2166666666639792</x:v>
      </x:c>
      <x:c r="AE123" s="93" t="n">
        <x:f>IF(NOT(ISNUMBER(Z123)),"",ABS(Z123-U123))</x:f>
        <x:v>0.45996839497283304</x:v>
      </x:c>
      <x:c r="AF123" s="93" t="n">
        <x:f>IF(NOT(ISNUMBER(AA123)),"",ABS(LOG10(AA123)-LOG10(V123)))</x:f>
        <x:v>0.010825020817220032</x:v>
      </x:c>
      <x:c r="AG123" s="93" t="n">
        <x:f>IF(NOT(ISNUMBER(AB123)),"",ABS(LOG10(AB123)-LOG10(W123)))</x:f>
        <x:v>0.015812364423100078</x:v>
      </x:c>
      <x:c r="AH123" s="93" t="n">
        <x:f>IF(NOT(ISNUMBER(AC123)),"",ABS(LOG10(AC123)-LOG10(X123)))</x:f>
        <x:v>0.02663738524029924</x:v>
      </x:c>
      <x:c r="AI123" s="85" t="str">
        <x:f>IF(OR(NOT(ISNUMBER(Y123)),NOT(ISNUMBER(Z123)),NOT(ISNUMBER(AA123)),NOT(ISNUMBER(AB123))),"",IF(AND(Y123&gt;=0.3,Y123&lt;=1.2,Z123&lt;=200,AA123&gt;=1E-4,AB123&lt;=1E-6),"PASS","FAIL"))</x:f>
        <x:v>PASS</x:v>
      </x:c>
      <x:c r="AJ123" s="85" t="str"/>
    </x:row>
    <x:row r="124">
      <x:c r="A124" s="85" t="str">
        <x:v>L0720-23</x:v>
      </x:c>
      <x:c r="B124" s="85" t="str">
        <x:v>LR101</x:v>
      </x:c>
      <x:c r="C124" s="93" t="n">
        <x:v>0.72</x:v>
      </x:c>
      <x:c r="D124" s="93" t="str">
        <x:v>Practical</x:v>
      </x:c>
      <x:c r="E124" s="93" t="n">
        <x:v>1</x:v>
      </x:c>
      <x:c r="F124" s="94" t="n">
        <x:v>395102</x:v>
      </x:c>
      <x:c r="G124" s="93" t="n">
        <x:v>0.8703196636658038</x:v>
      </x:c>
      <x:c r="H124" s="93" t="n">
        <x:v>87.96268311276539</x:v>
      </x:c>
      <x:c r="I124" s="95" t="n">
        <x:v>0.000188220039622013</x:v>
      </x:c>
      <x:c r="J124" s="95" t="n">
        <x:v>3.064382636842299e-16</x:v>
      </x:c>
      <x:c r="K124" s="95" t="n">
        <x:v>614218463970.8207</x:v>
      </x:c>
      <x:c r="L124" s="95" t="n">
        <x:v>842167737139808.1</x:v>
      </x:c>
      <x:c r="M124" s="95" t="n">
        <x:v>37.10661902855549</x:v>
      </x:c>
      <x:c r="N124" s="95" t="n">
        <x:v>811097704379864700</x:v>
      </x:c>
      <x:c r="O124" s="95" t="n">
        <x:v>12.279357948814035</x:v>
      </x:c>
      <x:c r="P124" s="93"/>
      <x:c r="Q124" s="95"/>
      <x:c r="R124" s="95"/>
      <x:c r="S124" s="97" t="n">
        <x:v>0.9933333333333333</x:v>
      </x:c>
      <x:c r="T124" s="93" t="n">
        <x:v>0.87924333333333</x:v>
      </x:c>
      <x:c r="U124" s="98" t="n">
        <x:v>86.61278931072273</x:v>
      </x:c>
      <x:c r="V124" s="95" t="n">
        <x:v>0.00017916939366596025</x:v>
      </x:c>
      <x:c r="W124" s="95" t="n">
        <x:v>2.9744263877825347e-16</x:v>
      </x:c>
      <x:c r="X124" s="95" t="n">
        <x:v>602366205470.4028</x:v>
      </x:c>
      <x:c r="Y124" s="99" t="n">
        <x:f>IFERROR(IF(ISBLANK(INDEX('Long_TCAD'!$H$2:$H$176,MATCH(B124,'Long_TCAD'!$A$2:$A$176,0))),"",INDEX('Long_TCAD'!$H$2:$H$176,MATCH(B124,'Long_TCAD'!$A$2:$A$176,0))),"")</x:f>
        <x:v>0.877</x:v>
      </x:c>
      <x:c r="Z124" s="100" t="n">
        <x:f>IFERROR(IF(ISBLANK(INDEX('Long_TCAD'!$I$2:$I$176,MATCH(B124,'Long_TCAD'!$A$2:$A$176,0))),"",INDEX('Long_TCAD'!$I$2:$I$176,MATCH(B124,'Long_TCAD'!$A$2:$A$176,0))),"")</x:f>
        <x:v>85.819</x:v>
      </x:c>
      <x:c r="AA124" s="96" t="n">
        <x:f>IFERROR(IF(ISBLANK(INDEX('Long_TCAD'!$J$2:$J$176,MATCH(B124,'Long_TCAD'!$A$2:$A$176,0))),"",INDEX('Long_TCAD'!$J$2:$J$176,MATCH(B124,'Long_TCAD'!$A$2:$A$176,0))),"")</x:f>
        <x:v>0.0001806</x:v>
      </x:c>
      <x:c r="AB124" s="96" t="n">
        <x:f>IFERROR(IF(ISBLANK(INDEX('Long_TCAD'!$K$2:$K$176,MATCH(B124,'Long_TCAD'!$A$2:$A$176,0))),"",INDEX('Long_TCAD'!$K$2:$K$176,MATCH(B124,'Long_TCAD'!$A$2:$A$176,0))),"")</x:f>
        <x:v>4.256e-16</x:v>
      </x:c>
      <x:c r="AC124" s="95" t="n">
        <x:f>IF(OR(NOT(ISNUMBER(AA124)),NOT(ISNUMBER(AB124))),"",AA124/AB124)</x:f>
        <x:v>424342105263.1579</x:v>
      </x:c>
      <x:c r="AD124" s="93" t="n">
        <x:f>IF(NOT(ISNUMBER(Y124)),"",ABS(Y124-T124)*1000)</x:f>
        <x:v>2.2433333333300443</x:v>
      </x:c>
      <x:c r="AE124" s="93" t="n">
        <x:f>IF(NOT(ISNUMBER(Z124)),"",ABS(Z124-U124))</x:f>
        <x:v>0.7937893107227296</x:v>
      </x:c>
      <x:c r="AF124" s="93" t="n">
        <x:f>IF(NOT(ISNUMBER(AA124)),"",ABS(LOG10(AA124)-LOG10(V124)))</x:f>
        <x:v>0.0034539219975102675</x:v>
      </x:c>
      <x:c r="AG124" s="93" t="n">
        <x:f>IF(NOT(ISNUMBER(AB124)),"",ABS(LOG10(AB124)-LOG10(W124)))</x:f>
        <x:v>0.15559839397539932</x:v>
      </x:c>
      <x:c r="AH124" s="93" t="n">
        <x:f>IF(NOT(ISNUMBER(AC124)),"",ABS(LOG10(AC124)-LOG10(X124)))</x:f>
        <x:v>0.15214447197790015</x:v>
      </x:c>
      <x:c r="AI124" s="85" t="str">
        <x:f>IF(OR(NOT(ISNUMBER(Y124)),NOT(ISNUMBER(Z124)),NOT(ISNUMBER(AA124)),NOT(ISNUMBER(AB124))),"",IF(AND(Y124&gt;=0.3,Y124&lt;=1.2,Z124&lt;=200,AA124&gt;=1E-4,AB124&lt;=1E-6),"PASS","FAIL"))</x:f>
        <x:v>PASS</x:v>
      </x:c>
      <x:c r="AJ124" s="85" t="str"/>
    </x:row>
    <x:row r="125">
      <x:c r="A125" s="85" t="str">
        <x:v>L0720-24</x:v>
      </x:c>
      <x:c r="B125" s="85" t="str">
        <x:v>LR112</x:v>
      </x:c>
      <x:c r="C125" s="93" t="n">
        <x:v>0.72</x:v>
      </x:c>
      <x:c r="D125" s="93" t="str">
        <x:v>Practical</x:v>
      </x:c>
      <x:c r="E125" s="93" t="n">
        <x:v>1</x:v>
      </x:c>
      <x:c r="F125" s="94" t="n">
        <x:v>405901</x:v>
      </x:c>
      <x:c r="G125" s="93" t="n">
        <x:v>0.870746375578606</x:v>
      </x:c>
      <x:c r="H125" s="93" t="n">
        <x:v>83.466</x:v>
      </x:c>
      <x:c r="I125" s="95" t="n">
        <x:v>0.0001719628281051697</x:v>
      </x:c>
      <x:c r="J125" s="95" t="n">
        <x:v>4.684839038871825e-16</x:v>
      </x:c>
      <x:c r="K125" s="95" t="n">
        <x:v>367062404232.74133</x:v>
      </x:c>
      <x:c r="L125" s="95" t="n">
        <x:v>18193935407012.215</x:v>
      </x:c>
      <x:c r="M125" s="95" t="n">
        <x:v>64.28555663357369</x:v>
      </x:c>
      <x:c r="N125" s="95" t="n">
        <x:v>51384385581745800</x:v>
      </x:c>
      <x:c r="O125" s="95" t="n">
        <x:v>22.934051252590287</x:v>
      </x:c>
      <x:c r="P125" s="93"/>
      <x:c r="Q125" s="95"/>
      <x:c r="R125" s="95"/>
      <x:c r="S125" s="97" t="n">
        <x:v>1</x:v>
      </x:c>
      <x:c r="T125" s="93" t="n">
        <x:v>0.8703766666666697</x:v>
      </x:c>
      <x:c r="U125" s="98" t="n">
        <x:v>85.95759266360803</x:v>
      </x:c>
      <x:c r="V125" s="95" t="n">
        <x:v>0.0001685257910344309</x:v>
      </x:c>
      <x:c r="W125" s="95" t="n">
        <x:v>4.708639396954567e-16</x:v>
      </x:c>
      <x:c r="X125" s="95" t="n">
        <x:v>357907617948.89044</x:v>
      </x:c>
      <x:c r="Y125" s="99" t="n">
        <x:f>IFERROR(IF(ISBLANK(INDEX('Long_TCAD'!$H$2:$H$176,MATCH(B125,'Long_TCAD'!$A$2:$A$176,0))),"",INDEX('Long_TCAD'!$H$2:$H$176,MATCH(B125,'Long_TCAD'!$A$2:$A$176,0))),"")</x:f>
        <x:v>0.871</x:v>
      </x:c>
      <x:c r="Z125" s="100" t="n">
        <x:f>IFERROR(IF(ISBLANK(INDEX('Long_TCAD'!$I$2:$I$176,MATCH(B125,'Long_TCAD'!$A$2:$A$176,0))),"",INDEX('Long_TCAD'!$I$2:$I$176,MATCH(B125,'Long_TCAD'!$A$2:$A$176,0))),"")</x:f>
        <x:v>85.841</x:v>
      </x:c>
      <x:c r="AA125" s="96" t="n">
        <x:f>IFERROR(IF(ISBLANK(INDEX('Long_TCAD'!$J$2:$J$176,MATCH(B125,'Long_TCAD'!$A$2:$A$176,0))),"",INDEX('Long_TCAD'!$J$2:$J$176,MATCH(B125,'Long_TCAD'!$A$2:$A$176,0))),"")</x:f>
        <x:v>0.0001764</x:v>
      </x:c>
      <x:c r="AB125" s="96" t="n">
        <x:f>IFERROR(IF(ISBLANK(INDEX('Long_TCAD'!$K$2:$K$176,MATCH(B125,'Long_TCAD'!$A$2:$A$176,0))),"",INDEX('Long_TCAD'!$K$2:$K$176,MATCH(B125,'Long_TCAD'!$A$2:$A$176,0))),"")</x:f>
        <x:v>5.88e-16</x:v>
      </x:c>
      <x:c r="AC125" s="95" t="n">
        <x:f>IF(OR(NOT(ISNUMBER(AA125)),NOT(ISNUMBER(AB125))),"",AA125/AB125)</x:f>
        <x:v>300000000000</x:v>
      </x:c>
      <x:c r="AD125" s="93" t="n">
        <x:f>IF(NOT(ISNUMBER(Y125)),"",ABS(Y125-T125)*1000)</x:f>
        <x:v>0.6233333333303115</x:v>
      </x:c>
      <x:c r="AE125" s="93" t="n">
        <x:f>IF(NOT(ISNUMBER(Z125)),"",ABS(Z125-U125))</x:f>
        <x:v>0.11659266360803144</x:v>
      </x:c>
      <x:c r="AF125" s="93" t="n">
        <x:f>IF(NOT(ISNUMBER(AA125)),"",ABS(LOG10(AA125)-LOG10(V125)))</x:f>
        <x:v>0.019832206467939706</x:v>
      </x:c>
      <x:c r="AG125" s="93" t="n">
        <x:f>IF(NOT(ISNUMBER(AB125)),"",ABS(LOG10(AB125)-LOG10(W125)))</x:f>
        <x:v>0.09648189405539931</x:v>
      </x:c>
      <x:c r="AH125" s="93" t="n">
        <x:f>IF(NOT(ISNUMBER(AC125)),"",ABS(LOG10(AC125)-LOG10(X125)))</x:f>
        <x:v>0.07664968758749957</x:v>
      </x:c>
      <x:c r="AI125" s="85" t="str">
        <x:f>IF(OR(NOT(ISNUMBER(Y125)),NOT(ISNUMBER(Z125)),NOT(ISNUMBER(AA125)),NOT(ISNUMBER(AB125))),"",IF(AND(Y125&gt;=0.3,Y125&lt;=1.2,Z125&lt;=200,AA125&gt;=1E-4,AB125&lt;=1E-6),"PASS","FAIL"))</x:f>
        <x:v>PASS</x:v>
      </x:c>
      <x:c r="AJ125" s="85" t="str"/>
    </x:row>
    <x:row r="126">
      <x:c r="A126" s="85" t="str">
        <x:v>L0720-25</x:v>
      </x:c>
      <x:c r="B126" s="85" t="str">
        <x:v>LR113</x:v>
      </x:c>
      <x:c r="C126" s="93" t="n">
        <x:v>0.72</x:v>
      </x:c>
      <x:c r="D126" s="93" t="str">
        <x:v>Practical</x:v>
      </x:c>
      <x:c r="E126" s="93" t="n">
        <x:v>1</x:v>
      </x:c>
      <x:c r="F126" s="94" t="n">
        <x:v>403037</x:v>
      </x:c>
      <x:c r="G126" s="93" t="n">
        <x:v>0.865309710237667</x:v>
      </x:c>
      <x:c r="H126" s="93" t="n">
        <x:v>90.25710726102787</x:v>
      </x:c>
      <x:c r="I126" s="95" t="n">
        <x:v>0.00019275086709816714</x:v>
      </x:c>
      <x:c r="J126" s="95" t="n">
        <x:v>4.2031252681306817e-16</x:v>
      </x:c>
      <x:c r="K126" s="95" t="n">
        <x:v>458589394324.40967</x:v>
      </x:c>
      <x:c r="L126" s="95" t="n">
        <x:v>766863254541320.2</x:v>
      </x:c>
      <x:c r="M126" s="95" t="n">
        <x:v>57.61842636691179</x:v>
      </x:c>
      <x:c r="N126" s="95" t="n">
        <x:v>52755846666621310</x:v>
      </x:c>
      <x:c r="O126" s="95" t="n">
        <x:v>12.825762870418988</x:v>
      </x:c>
      <x:c r="P126" s="93"/>
      <x:c r="Q126" s="95"/>
      <x:c r="R126" s="95"/>
      <x:c r="S126" s="97" t="n">
        <x:v>1</x:v>
      </x:c>
      <x:c r="T126" s="93" t="n">
        <x:v>0.8750800000000004</x:v>
      </x:c>
      <x:c r="U126" s="98" t="n">
        <x:v>85.93921164152587</x:v>
      </x:c>
      <x:c r="V126" s="95" t="n">
        <x:v>0.00018134629852953986</x:v>
      </x:c>
      <x:c r="W126" s="95" t="n">
        <x:v>4.348962436494486e-16</x:v>
      </x:c>
      <x:c r="X126" s="95" t="n">
        <x:v>416987502600.0809</x:v>
      </x:c>
      <x:c r="Y126" s="99" t="n">
        <x:f>IFERROR(IF(ISBLANK(INDEX('Long_TCAD'!$H$2:$H$176,MATCH(B126,'Long_TCAD'!$A$2:$A$176,0))),"",INDEX('Long_TCAD'!$H$2:$H$176,MATCH(B126,'Long_TCAD'!$A$2:$A$176,0))),"")</x:f>
        <x:v>0.87</x:v>
      </x:c>
      <x:c r="Z126" s="100" t="n">
        <x:f>IFERROR(IF(ISBLANK(INDEX('Long_TCAD'!$I$2:$I$176,MATCH(B126,'Long_TCAD'!$A$2:$A$176,0))),"",INDEX('Long_TCAD'!$I$2:$I$176,MATCH(B126,'Long_TCAD'!$A$2:$A$176,0))),"")</x:f>
        <x:v>85.7</x:v>
      </x:c>
      <x:c r="AA126" s="96" t="n">
        <x:f>IFERROR(IF(ISBLANK(INDEX('Long_TCAD'!$J$2:$J$176,MATCH(B126,'Long_TCAD'!$A$2:$A$176,0))),"",INDEX('Long_TCAD'!$J$2:$J$176,MATCH(B126,'Long_TCAD'!$A$2:$A$176,0))),"")</x:f>
        <x:v>0.0001823</x:v>
      </x:c>
      <x:c r="AB126" s="96" t="n">
        <x:f>IFERROR(IF(ISBLANK(INDEX('Long_TCAD'!$K$2:$K$176,MATCH(B126,'Long_TCAD'!$A$2:$A$176,0))),"",INDEX('Long_TCAD'!$K$2:$K$176,MATCH(B126,'Long_TCAD'!$A$2:$A$176,0))),"")</x:f>
        <x:v>4.888e-16</x:v>
      </x:c>
      <x:c r="AC126" s="95" t="n">
        <x:f>IF(OR(NOT(ISNUMBER(AA126)),NOT(ISNUMBER(AB126))),"",AA126/AB126)</x:f>
        <x:v>372954173486.08844</x:v>
      </x:c>
      <x:c r="AD126" s="93" t="n">
        <x:f>IF(NOT(ISNUMBER(Y126)),"",ABS(Y126-T126)*1000)</x:f>
        <x:v>5.0800000000004175</x:v>
      </x:c>
      <x:c r="AE126" s="93" t="n">
        <x:f>IF(NOT(ISNUMBER(Z126)),"",ABS(Z126-U126))</x:f>
        <x:v>0.23921164152586982</x:v>
      </x:c>
      <x:c r="AF126" s="93" t="n">
        <x:f>IF(NOT(ISNUMBER(AA126)),"",ABS(LOG10(AA126)-LOG10(V126)))</x:f>
        <x:v>0.002277973059459981</x:v>
      </x:c>
      <x:c r="AG126" s="93" t="n">
        <x:f>IF(NOT(ISNUMBER(AB126)),"",ABS(LOG10(AB126)-LOG10(W126)))</x:f>
        <x:v>0.05074554070590054</x:v>
      </x:c>
      <x:c r="AH126" s="93" t="n">
        <x:f>IF(NOT(ISNUMBER(AC126)),"",ABS(LOG10(AC126)-LOG10(X126)))</x:f>
        <x:v>0.0484675676463997</x:v>
      </x:c>
      <x:c r="AI126" s="85" t="str">
        <x:f>IF(OR(NOT(ISNUMBER(Y126)),NOT(ISNUMBER(Z126)),NOT(ISNUMBER(AA126)),NOT(ISNUMBER(AB126))),"",IF(AND(Y126&gt;=0.3,Y126&lt;=1.2,Z126&lt;=200,AA126&gt;=1E-4,AB126&lt;=1E-6),"PASS","FAIL"))</x:f>
        <x:v>PASS</x:v>
      </x:c>
      <x:c r="AJ126" s="85" t="str"/>
    </x:row>
    <x:row r="127">
      <x:c r="A127" s="85" t="str">
        <x:v>L0720-26</x:v>
      </x:c>
      <x:c r="B127" s="85" t="str">
        <x:v>LR114</x:v>
      </x:c>
      <x:c r="C127" s="93" t="n">
        <x:v>0.72</x:v>
      </x:c>
      <x:c r="D127" s="93" t="str">
        <x:v>Practical</x:v>
      </x:c>
      <x:c r="E127" s="93" t="n">
        <x:v>1</x:v>
      </x:c>
      <x:c r="F127" s="94" t="n">
        <x:v>403255</x:v>
      </x:c>
      <x:c r="G127" s="93" t="n">
        <x:v>0.8799735062799514</x:v>
      </x:c>
      <x:c r="H127" s="93" t="n">
        <x:v>87.66082426911791</x:v>
      </x:c>
      <x:c r="I127" s="95" t="n">
        <x:v>0.00018482652321908025</x:v>
      </x:c>
      <x:c r="J127" s="95" t="n">
        <x:v>3.693549547039762e-16</x:v>
      </x:c>
      <x:c r="K127" s="95" t="n">
        <x:v>500403530168.45703</x:v>
      </x:c>
      <x:c r="L127" s="95" t="n">
        <x:v>953597415528274.2</x:v>
      </x:c>
      <x:c r="M127" s="95" t="n">
        <x:v>46.22422308377878</x:v>
      </x:c>
      <x:c r="N127" s="95" t="n">
        <x:v>715551230193571700</x:v>
      </x:c>
      <x:c r="O127" s="95" t="n">
        <x:v>13.834652940725059</x:v>
      </x:c>
      <x:c r="P127" s="93"/>
      <x:c r="Q127" s="95"/>
      <x:c r="R127" s="95"/>
      <x:c r="S127" s="97" t="n">
        <x:v>1</x:v>
      </x:c>
      <x:c r="T127" s="93" t="n">
        <x:v>0.8750700000000005</x:v>
      </x:c>
      <x:c r="U127" s="98" t="n">
        <x:v>86.01331946758535</x:v>
      </x:c>
      <x:c r="V127" s="95" t="n">
        <x:v>0.00018333038793938596</x:v>
      </x:c>
      <x:c r="W127" s="95" t="n">
        <x:v>3.6663149396171353e-16</x:v>
      </x:c>
      <x:c r="X127" s="95" t="n">
        <x:v>500039933717.56195</x:v>
      </x:c>
      <x:c r="Y127" s="99" t="n">
        <x:f>IFERROR(IF(ISBLANK(INDEX('Long_TCAD'!$H$2:$H$176,MATCH(B127,'Long_TCAD'!$A$2:$A$176,0))),"",INDEX('Long_TCAD'!$H$2:$H$176,MATCH(B127,'Long_TCAD'!$A$2:$A$176,0))),"")</x:f>
        <x:v>0.876</x:v>
      </x:c>
      <x:c r="Z127" s="100" t="n">
        <x:f>IFERROR(IF(ISBLANK(INDEX('Long_TCAD'!$I$2:$I$176,MATCH(B127,'Long_TCAD'!$A$2:$A$176,0))),"",INDEX('Long_TCAD'!$I$2:$I$176,MATCH(B127,'Long_TCAD'!$A$2:$A$176,0))),"")</x:f>
        <x:v>85.887</x:v>
      </x:c>
      <x:c r="AA127" s="96" t="n">
        <x:f>IFERROR(IF(ISBLANK(INDEX('Long_TCAD'!$J$2:$J$176,MATCH(B127,'Long_TCAD'!$A$2:$A$176,0))),"",INDEX('Long_TCAD'!$J$2:$J$176,MATCH(B127,'Long_TCAD'!$A$2:$A$176,0))),"")</x:f>
        <x:v>0.0001824</x:v>
      </x:c>
      <x:c r="AB127" s="96" t="n">
        <x:f>IFERROR(IF(ISBLANK(INDEX('Long_TCAD'!$K$2:$K$176,MATCH(B127,'Long_TCAD'!$A$2:$A$176,0))),"",INDEX('Long_TCAD'!$K$2:$K$176,MATCH(B127,'Long_TCAD'!$A$2:$A$176,0))),"")</x:f>
        <x:v>3.487e-16</x:v>
      </x:c>
      <x:c r="AC127" s="95" t="n">
        <x:f>IF(OR(NOT(ISNUMBER(AA127)),NOT(ISNUMBER(AB127))),"",AA127/AB127)</x:f>
        <x:v>523085747060.5105</x:v>
      </x:c>
      <x:c r="AD127" s="93" t="n">
        <x:f>IF(NOT(ISNUMBER(Y127)),"",ABS(Y127-T127)*1000)</x:f>
        <x:v>0.9299999999995423</x:v>
      </x:c>
      <x:c r="AE127" s="93" t="n">
        <x:f>IF(NOT(ISNUMBER(Z127)),"",ABS(Z127-U127))</x:f>
        <x:v>0.12631946758534696</x:v>
      </x:c>
      <x:c r="AF127" s="93" t="n">
        <x:f>IF(NOT(ISNUMBER(AA127)),"",ABS(LOG10(AA127)-LOG10(V127)))</x:f>
        <x:v>0.0022096234442900986</x:v>
      </x:c>
      <x:c r="AG127" s="93" t="n">
        <x:f>IF(NOT(ISNUMBER(AB127)),"",ABS(LOG10(AB127)-LOG10(W127)))</x:f>
        <x:v>0.021777821123400543</x:v>
      </x:c>
      <x:c r="AH127" s="93" t="n">
        <x:f>IF(NOT(ISNUMBER(AC127)),"",ABS(LOG10(AC127)-LOG10(X127)))</x:f>
        <x:v>0.01956819767909934</x:v>
      </x:c>
      <x:c r="AI127" s="85" t="str">
        <x:f>IF(OR(NOT(ISNUMBER(Y127)),NOT(ISNUMBER(Z127)),NOT(ISNUMBER(AA127)),NOT(ISNUMBER(AB127))),"",IF(AND(Y127&gt;=0.3,Y127&lt;=1.2,Z127&lt;=200,AA127&gt;=1E-4,AB127&lt;=1E-6),"PASS","FAIL"))</x:f>
        <x:v>PASS</x:v>
      </x:c>
      <x:c r="AJ127" s="85" t="str"/>
    </x:row>
    <x:row r="128">
      <x:c r="A128" s="85" t="str">
        <x:v>L0720-27</x:v>
      </x:c>
      <x:c r="B128" s="85" t="str">
        <x:v>LR115</x:v>
      </x:c>
      <x:c r="C128" s="93" t="n">
        <x:v>0.72</x:v>
      </x:c>
      <x:c r="D128" s="93" t="str">
        <x:v>Practical</x:v>
      </x:c>
      <x:c r="E128" s="93" t="n">
        <x:v>1</x:v>
      </x:c>
      <x:c r="F128" s="94" t="n">
        <x:v>396035</x:v>
      </x:c>
      <x:c r="G128" s="93" t="n">
        <x:v>0.8803517874038678</x:v>
      </x:c>
      <x:c r="H128" s="93" t="n">
        <x:v>83.98261395202287</x:v>
      </x:c>
      <x:c r="I128" s="95" t="n">
        <x:v>0.00017780447962883195</x:v>
      </x:c>
      <x:c r="J128" s="95" t="n">
        <x:v>3.0817969311242094e-16</x:v>
      </x:c>
      <x:c r="K128" s="95" t="n">
        <x:v>576950667427.5603</x:v>
      </x:c>
      <x:c r="L128" s="95" t="n">
        <x:v>611841026442102.4</x:v>
      </x:c>
      <x:c r="M128" s="95" t="n">
        <x:v>36.69571203049106</x:v>
      </x:c>
      <x:c r="N128" s="95" t="n">
        <x:v>663955868573332.2</x:v>
      </x:c>
      <x:c r="O128" s="95" t="n">
        <x:v>32.01238689521447</x:v>
      </x:c>
      <x:c r="P128" s="93"/>
      <x:c r="Q128" s="95"/>
      <x:c r="R128" s="95"/>
      <x:c r="S128" s="97" t="n">
        <x:v>0.9866666666666667</x:v>
      </x:c>
      <x:c r="T128" s="93" t="n">
        <x:v>0.8789666666666637</x:v>
      </x:c>
      <x:c r="U128" s="98" t="n">
        <x:v>86.3380244079089</x:v>
      </x:c>
      <x:c r="V128" s="95" t="n">
        <x:v>0.00017608358801747835</x:v>
      </x:c>
      <x:c r="W128" s="95" t="n">
        <x:v>3.0936797624860703e-16</x:v>
      </x:c>
      <x:c r="X128" s="95" t="n">
        <x:v>569171994311.3252</x:v>
      </x:c>
      <x:c r="Y128" s="99" t="n">
        <x:f>IFERROR(IF(ISBLANK(INDEX('Long_TCAD'!$H$2:$H$176,MATCH(B128,'Long_TCAD'!$A$2:$A$176,0))),"",INDEX('Long_TCAD'!$H$2:$H$176,MATCH(B128,'Long_TCAD'!$A$2:$A$176,0))),"")</x:f>
        <x:v>0.877</x:v>
      </x:c>
      <x:c r="Z128" s="100" t="n">
        <x:f>IFERROR(IF(ISBLANK(INDEX('Long_TCAD'!$I$2:$I$176,MATCH(B128,'Long_TCAD'!$A$2:$A$176,0))),"",INDEX('Long_TCAD'!$I$2:$I$176,MATCH(B128,'Long_TCAD'!$A$2:$A$176,0))),"")</x:f>
        <x:v>86.155</x:v>
      </x:c>
      <x:c r="AA128" s="96" t="n">
        <x:f>IFERROR(IF(ISBLANK(INDEX('Long_TCAD'!$J$2:$J$176,MATCH(B128,'Long_TCAD'!$A$2:$A$176,0))),"",INDEX('Long_TCAD'!$J$2:$J$176,MATCH(B128,'Long_TCAD'!$A$2:$A$176,0))),"")</x:f>
        <x:v>0.0001764</x:v>
      </x:c>
      <x:c r="AB128" s="96" t="n">
        <x:f>IFERROR(IF(ISBLANK(INDEX('Long_TCAD'!$K$2:$K$176,MATCH(B128,'Long_TCAD'!$A$2:$A$176,0))),"",INDEX('Long_TCAD'!$K$2:$K$176,MATCH(B128,'Long_TCAD'!$A$2:$A$176,0))),"")</x:f>
        <x:v>3.386e-16</x:v>
      </x:c>
      <x:c r="AC128" s="95" t="n">
        <x:f>IF(OR(NOT(ISNUMBER(AA128)),NOT(ISNUMBER(AB128))),"",AA128/AB128)</x:f>
        <x:v>520968694624.92615</x:v>
      </x:c>
      <x:c r="AD128" s="93" t="n">
        <x:f>IF(NOT(ISNUMBER(Y128)),"",ABS(Y128-T128)*1000)</x:f>
        <x:v>1.9666666666636745</x:v>
      </x:c>
      <x:c r="AE128" s="93" t="n">
        <x:f>IF(NOT(ISNUMBER(Z128)),"",ABS(Z128-U128))</x:f>
        <x:v>0.18302440790890273</x:v>
      </x:c>
      <x:c r="AF128" s="93" t="n">
        <x:f>IF(NOT(ISNUMBER(AA128)),"",ABS(LOG10(AA128)-LOG10(V128)))</x:f>
        <x:v>0.0007797016348995989</x:v>
      </x:c>
      <x:c r="AG128" s="93" t="n">
        <x:f>IF(NOT(ISNUMBER(AB128)),"",ABS(LOG10(AB128)-LOG10(W128)))</x:f>
        <x:v>0.03921159740990099</x:v>
      </x:c>
      <x:c r="AH128" s="93" t="n">
        <x:f>IF(NOT(ISNUMBER(AC128)),"",ABS(LOG10(AC128)-LOG10(X128)))</x:f>
        <x:v>0.03843189577500006</x:v>
      </x:c>
      <x:c r="AI128" s="85" t="str">
        <x:f>IF(OR(NOT(ISNUMBER(Y128)),NOT(ISNUMBER(Z128)),NOT(ISNUMBER(AA128)),NOT(ISNUMBER(AB128))),"",IF(AND(Y128&gt;=0.3,Y128&lt;=1.2,Z128&lt;=200,AA128&gt;=1E-4,AB128&lt;=1E-6),"PASS","FAIL"))</x:f>
        <x:v>PASS</x:v>
      </x:c>
      <x:c r="AJ128" s="85" t="str"/>
    </x:row>
    <x:row r="129">
      <x:c r="A129" s="85" t="str">
        <x:v>L0720-28</x:v>
      </x:c>
      <x:c r="B129" s="85" t="str">
        <x:v>LR116</x:v>
      </x:c>
      <x:c r="C129" s="93" t="n">
        <x:v>0.72</x:v>
      </x:c>
      <x:c r="D129" s="93" t="str">
        <x:v>Practical</x:v>
      </x:c>
      <x:c r="E129" s="93" t="n">
        <x:v>1</x:v>
      </x:c>
      <x:c r="F129" s="94" t="n">
        <x:v>399685</x:v>
      </x:c>
      <x:c r="G129" s="93" t="n">
        <x:v>0.8792183583538759</x:v>
      </x:c>
      <x:c r="H129" s="93" t="n">
        <x:v>83.82484829236226</x:v>
      </x:c>
      <x:c r="I129" s="95" t="n">
        <x:v>0.0002001867082896008</x:v>
      </x:c>
      <x:c r="J129" s="95" t="n">
        <x:v>5.300518599625833e-16</x:v>
      </x:c>
      <x:c r="K129" s="95" t="n">
        <x:v>377673815357.8635</x:v>
      </x:c>
      <x:c r="L129" s="95" t="n">
        <x:v>131705756218049.27</x:v>
      </x:c>
      <x:c r="M129" s="95" t="n">
        <x:v>22.264011067457364</x:v>
      </x:c>
      <x:c r="N129" s="95" t="n">
        <x:v>113128921323324740</x:v>
      </x:c>
      <x:c r="O129" s="95" t="n">
        <x:v>26.451085487305306</x:v>
      </x:c>
      <x:c r="P129" s="93"/>
      <x:c r="Q129" s="95"/>
      <x:c r="R129" s="95"/>
      <x:c r="S129" s="97" t="n">
        <x:v>1</x:v>
      </x:c>
      <x:c r="T129" s="93" t="n">
        <x:v>0.8592133333333368</x:v>
      </x:c>
      <x:c r="U129" s="98" t="n">
        <x:v>85.25649222910377</x:v>
      </x:c>
      <x:c r="V129" s="95" t="n">
        <x:v>0.00018488244532494924</x:v>
      </x:c>
      <x:c r="W129" s="95" t="n">
        <x:v>5.183150158670623e-16</x:v>
      </x:c>
      <x:c r="X129" s="95" t="n">
        <x:v>356698995138.44684</x:v>
      </x:c>
      <x:c r="Y129" s="99" t="n">
        <x:f>IFERROR(IF(ISBLANK(INDEX('Long_TCAD'!$H$2:$H$176,MATCH(B129,'Long_TCAD'!$A$2:$A$176,0))),"",INDEX('Long_TCAD'!$H$2:$H$176,MATCH(B129,'Long_TCAD'!$A$2:$A$176,0))),"")</x:f>
        <x:v>0.874</x:v>
      </x:c>
      <x:c r="Z129" s="100" t="n">
        <x:f>IFERROR(IF(ISBLANK(INDEX('Long_TCAD'!$I$2:$I$176,MATCH(B129,'Long_TCAD'!$A$2:$A$176,0))),"",INDEX('Long_TCAD'!$I$2:$I$176,MATCH(B129,'Long_TCAD'!$A$2:$A$176,0))),"")</x:f>
        <x:v>86.406</x:v>
      </x:c>
      <x:c r="AA129" s="96" t="n">
        <x:f>IFERROR(IF(ISBLANK(INDEX('Long_TCAD'!$J$2:$J$176,MATCH(B129,'Long_TCAD'!$A$2:$A$176,0))),"",INDEX('Long_TCAD'!$J$2:$J$176,MATCH(B129,'Long_TCAD'!$A$2:$A$176,0))),"")</x:f>
        <x:v>0.0001799</x:v>
      </x:c>
      <x:c r="AB129" s="96" t="n">
        <x:f>IFERROR(IF(ISBLANK(INDEX('Long_TCAD'!$K$2:$K$176,MATCH(B129,'Long_TCAD'!$A$2:$A$176,0))),"",INDEX('Long_TCAD'!$K$2:$K$176,MATCH(B129,'Long_TCAD'!$A$2:$A$176,0))),"")</x:f>
        <x:v>4.216e-16</x:v>
      </x:c>
      <x:c r="AC129" s="95" t="n">
        <x:f>IF(OR(NOT(ISNUMBER(AA129)),NOT(ISNUMBER(AB129))),"",AA129/AB129)</x:f>
        <x:v>426707779886.1481</x:v>
      </x:c>
      <x:c r="AD129" s="93" t="n">
        <x:f>IF(NOT(ISNUMBER(Y129)),"",ABS(Y129-T129)*1000)</x:f>
        <x:v>14.786666666663173</x:v>
      </x:c>
      <x:c r="AE129" s="93" t="n">
        <x:f>IF(NOT(ISNUMBER(Z129)),"",ABS(Z129-U129))</x:f>
        <x:v>1.1495077708962356</x:v>
      </x:c>
      <x:c r="AF129" s="93" t="n">
        <x:f>IF(NOT(ISNUMBER(AA129)),"",ABS(LOG10(AA129)-LOG10(V129)))</x:f>
        <x:v>0.011864513306099944</x:v>
      </x:c>
      <x:c r="AG129" s="93" t="n">
        <x:f>IF(NOT(ISNUMBER(AB129)),"",ABS(LOG10(AB129)-LOG10(W129)))</x:f>
        <x:v>0.08969318856390096</x:v>
      </x:c>
      <x:c r="AH129" s="93" t="n">
        <x:f>IF(NOT(ISNUMBER(AC129)),"",ABS(LOG10(AC129)-LOG10(X129)))</x:f>
        <x:v>0.0778286752578996</x:v>
      </x:c>
      <x:c r="AI129" s="85" t="str">
        <x:f>IF(OR(NOT(ISNUMBER(Y129)),NOT(ISNUMBER(Z129)),NOT(ISNUMBER(AA129)),NOT(ISNUMBER(AB129))),"",IF(AND(Y129&gt;=0.3,Y129&lt;=1.2,Z129&lt;=200,AA129&gt;=1E-4,AB129&lt;=1E-6),"PASS","FAIL"))</x:f>
        <x:v>PASS</x:v>
      </x:c>
      <x:c r="AJ129" s="85" t="str"/>
    </x:row>
    <x:row r="130">
      <x:c r="A130" s="85" t="str">
        <x:v>L0720-29</x:v>
      </x:c>
      <x:c r="B130" s="85" t="str">
        <x:v>LR117</x:v>
      </x:c>
      <x:c r="C130" s="93" t="n">
        <x:v>0.72</x:v>
      </x:c>
      <x:c r="D130" s="93" t="str">
        <x:v>Practical</x:v>
      </x:c>
      <x:c r="E130" s="93" t="n">
        <x:v>1</x:v>
      </x:c>
      <x:c r="F130" s="94" t="n">
        <x:v>395915</x:v>
      </x:c>
      <x:c r="G130" s="93" t="n">
        <x:v>0.8805089567560738</x:v>
      </x:c>
      <x:c r="H130" s="93" t="n">
        <x:v>89.13167479102356</x:v>
      </x:c>
      <x:c r="I130" s="95" t="n">
        <x:v>0.0002068</x:v>
      </x:c>
      <x:c r="J130" s="95" t="n">
        <x:v>3.6439276097597456e-16</x:v>
      </x:c>
      <x:c r="K130" s="95" t="n">
        <x:v>567519506825.864</x:v>
      </x:c>
      <x:c r="L130" s="95" t="n">
        <x:v>681030451940438.9</x:v>
      </x:c>
      <x:c r="M130" s="95" t="n">
        <x:v>57.09747005469589</x:v>
      </x:c>
      <x:c r="N130" s="95" t="n">
        <x:v>821972967180388100</x:v>
      </x:c>
      <x:c r="O130" s="95" t="n">
        <x:v>23.795655755595106</x:v>
      </x:c>
      <x:c r="P130" s="93"/>
      <x:c r="Q130" s="95"/>
      <x:c r="R130" s="95"/>
      <x:c r="S130" s="97" t="n">
        <x:v>1</x:v>
      </x:c>
      <x:c r="T130" s="93" t="n">
        <x:v>0.8733033333333299</x:v>
      </x:c>
      <x:c r="U130" s="98" t="n">
        <x:v>85.8937086318915</x:v>
      </x:c>
      <x:c r="V130" s="95" t="n">
        <x:v>0.00018525520473559106</x:v>
      </x:c>
      <x:c r="W130" s="95" t="n">
        <x:v>3.502523943004959e-16</x:v>
      </x:c>
      <x:c r="X130" s="95" t="n">
        <x:v>528919167292.4097</x:v>
      </x:c>
      <x:c r="Y130" s="99" t="n">
        <x:f>IFERROR(IF(ISBLANK(INDEX('Long_TCAD'!$H$2:$H$176,MATCH(B130,'Long_TCAD'!$A$2:$A$176,0))),"",INDEX('Long_TCAD'!$H$2:$H$176,MATCH(B130,'Long_TCAD'!$A$2:$A$176,0))),"")</x:f>
        <x:v>0.869</x:v>
      </x:c>
      <x:c r="Z130" s="100" t="n">
        <x:f>IFERROR(IF(ISBLANK(INDEX('Long_TCAD'!$I$2:$I$176,MATCH(B130,'Long_TCAD'!$A$2:$A$176,0))),"",INDEX('Long_TCAD'!$I$2:$I$176,MATCH(B130,'Long_TCAD'!$A$2:$A$176,0))),"")</x:f>
        <x:v>85.421</x:v>
      </x:c>
      <x:c r="AA130" s="96" t="n">
        <x:f>IFERROR(IF(ISBLANK(INDEX('Long_TCAD'!$J$2:$J$176,MATCH(B130,'Long_TCAD'!$A$2:$A$176,0))),"",INDEX('Long_TCAD'!$J$2:$J$176,MATCH(B130,'Long_TCAD'!$A$2:$A$176,0))),"")</x:f>
        <x:v>0.0001867</x:v>
      </x:c>
      <x:c r="AB130" s="96" t="n">
        <x:f>IFERROR(IF(ISBLANK(INDEX('Long_TCAD'!$K$2:$K$176,MATCH(B130,'Long_TCAD'!$A$2:$A$176,0))),"",INDEX('Long_TCAD'!$K$2:$K$176,MATCH(B130,'Long_TCAD'!$A$2:$A$176,0))),"")</x:f>
        <x:v>4.101e-16</x:v>
      </x:c>
      <x:c r="AC130" s="95" t="n">
        <x:f>IF(OR(NOT(ISNUMBER(AA130)),NOT(ISNUMBER(AB130))),"",AA130/AB130)</x:f>
        <x:v>455254815898.56134</x:v>
      </x:c>
      <x:c r="AD130" s="93" t="n">
        <x:f>IF(NOT(ISNUMBER(Y130)),"",ABS(Y130-T130)*1000)</x:f>
        <x:v>4.303333333329884</x:v>
      </x:c>
      <x:c r="AE130" s="93" t="n">
        <x:f>IF(NOT(ISNUMBER(Z130)),"",ABS(Z130-U130))</x:f>
        <x:v>0.4727086318914928</x:v>
      </x:c>
      <x:c r="AF130" s="93" t="n">
        <x:f>IF(NOT(ISNUMBER(AA130)),"",ABS(LOG10(AA130)-LOG10(V130)))</x:f>
        <x:v>0.0033738996448500203</x:v>
      </x:c>
      <x:c r="AG130" s="93" t="n">
        <x:f>IF(NOT(ISNUMBER(AB130)),"",ABS(LOG10(AB130)-LOG10(W130)))</x:f>
        <x:v>0.06850865651330018</x:v>
      </x:c>
      <x:c r="AH130" s="93" t="n">
        <x:f>IF(NOT(ISNUMBER(AC130)),"",ABS(LOG10(AC130)-LOG10(X130)))</x:f>
        <x:v>0.06513475686840131</x:v>
      </x:c>
      <x:c r="AI130" s="85" t="str">
        <x:f>IF(OR(NOT(ISNUMBER(Y130)),NOT(ISNUMBER(Z130)),NOT(ISNUMBER(AA130)),NOT(ISNUMBER(AB130))),"",IF(AND(Y130&gt;=0.3,Y130&lt;=1.2,Z130&lt;=200,AA130&gt;=1E-4,AB130&lt;=1E-6),"PASS","FAIL"))</x:f>
        <x:v>PASS</x:v>
      </x:c>
      <x:c r="AJ130" s="85" t="str"/>
    </x:row>
    <x:row r="131">
      <x:c r="A131" s="85" t="str">
        <x:v>L0720-30</x:v>
      </x:c>
      <x:c r="B131" s="85" t="str">
        <x:v>LR118</x:v>
      </x:c>
      <x:c r="C131" s="93" t="n">
        <x:v>0.72</x:v>
      </x:c>
      <x:c r="D131" s="93" t="str">
        <x:v>Practical</x:v>
      </x:c>
      <x:c r="E131" s="93" t="n">
        <x:v>1</x:v>
      </x:c>
      <x:c r="F131" s="94" t="n">
        <x:v>408157</x:v>
      </x:c>
      <x:c r="G131" s="93" t="n">
        <x:v>0.8672247168453207</x:v>
      </x:c>
      <x:c r="H131" s="93" t="n">
        <x:v>89.37714076433086</x:v>
      </x:c>
      <x:c r="I131" s="95" t="n">
        <x:v>0.00016828487606555876</x:v>
      </x:c>
      <x:c r="J131" s="95" t="n">
        <x:v>3.6840505286748603e-16</x:v>
      </x:c>
      <x:c r="K131" s="95" t="n">
        <x:v>456793072613.17676</x:v>
      </x:c>
      <x:c r="L131" s="95" t="n">
        <x:v>104152680007481.05</x:v>
      </x:c>
      <x:c r="M131" s="95" t="n">
        <x:v>26.7808914583292</x:v>
      </x:c>
      <x:c r="N131" s="95" t="n">
        <x:v>126793736875330.75</x:v>
      </x:c>
      <x:c r="O131" s="95" t="n">
        <x:v>34.08020688997899</x:v>
      </x:c>
      <x:c r="P131" s="93"/>
      <x:c r="Q131" s="95"/>
      <x:c r="R131" s="95"/>
      <x:c r="S131" s="97" t="n">
        <x:v>1</x:v>
      </x:c>
      <x:c r="T131" s="93" t="n">
        <x:v>0.8753999999999993</x:v>
      </x:c>
      <x:c r="U131" s="98" t="n">
        <x:v>86.21434034154304</x:v>
      </x:c>
      <x:c r="V131" s="95" t="n">
        <x:v>0.00016656669277771434</x:v>
      </x:c>
      <x:c r="W131" s="95" t="n">
        <x:v>3.718649060712251e-16</x:v>
      </x:c>
      <x:c r="X131" s="95" t="n">
        <x:v>447922592474.5128</x:v>
      </x:c>
      <x:c r="Y131" s="99" t="n">
        <x:f>IFERROR(IF(ISBLANK(INDEX('Long_TCAD'!$H$2:$H$176,MATCH(B131,'Long_TCAD'!$A$2:$A$176,0))),"",INDEX('Long_TCAD'!$H$2:$H$176,MATCH(B131,'Long_TCAD'!$A$2:$A$176,0))),"")</x:f>
        <x:v>0.876</x:v>
      </x:c>
      <x:c r="Z131" s="100" t="n">
        <x:f>IFERROR(IF(ISBLANK(INDEX('Long_TCAD'!$I$2:$I$176,MATCH(B131,'Long_TCAD'!$A$2:$A$176,0))),"",INDEX('Long_TCAD'!$I$2:$I$176,MATCH(B131,'Long_TCAD'!$A$2:$A$176,0))),"")</x:f>
        <x:v>86.253</x:v>
      </x:c>
      <x:c r="AA131" s="96" t="n">
        <x:f>IFERROR(IF(ISBLANK(INDEX('Long_TCAD'!$J$2:$J$176,MATCH(B131,'Long_TCAD'!$A$2:$A$176,0))),"",INDEX('Long_TCAD'!$J$2:$J$176,MATCH(B131,'Long_TCAD'!$A$2:$A$176,0))),"")</x:f>
        <x:v>0.000167</x:v>
      </x:c>
      <x:c r="AB131" s="96" t="n">
        <x:f>IFERROR(IF(ISBLANK(INDEX('Long_TCAD'!$K$2:$K$176,MATCH(B131,'Long_TCAD'!$A$2:$A$176,0))),"",INDEX('Long_TCAD'!$K$2:$K$176,MATCH(B131,'Long_TCAD'!$A$2:$A$176,0))),"")</x:f>
        <x:v>2.879e-16</x:v>
      </x:c>
      <x:c r="AC131" s="95" t="n">
        <x:f>IF(OR(NOT(ISNUMBER(AA131)),NOT(ISNUMBER(AB131))),"",AA131/AB131)</x:f>
        <x:v>580062521708.9266</x:v>
      </x:c>
      <x:c r="AD131" s="93" t="n">
        <x:f>IF(NOT(ISNUMBER(Y131)),"",ABS(Y131-T131)*1000)</x:f>
        <x:v>0.6000000000007111</x:v>
      </x:c>
      <x:c r="AE131" s="93" t="n">
        <x:f>IF(NOT(ISNUMBER(Z131)),"",ABS(Z131-U131))</x:f>
        <x:v>0.03865965845696451</x:v>
      </x:c>
      <x:c r="AF131" s="93" t="n">
        <x:f>IF(NOT(ISNUMBER(AA131)),"",ABS(LOG10(AA131)-LOG10(V131)))</x:f>
        <x:v>0.001128308344510387</x:v>
      </x:c>
      <x:c r="AG131" s="93" t="n">
        <x:f>IF(NOT(ISNUMBER(AB131)),"",ABS(LOG10(AB131)-LOG10(W131)))</x:f>
        <x:v>0.1111435298327006</x:v>
      </x:c>
      <x:c r="AH131" s="93" t="n">
        <x:f>IF(NOT(ISNUMBER(AC131)),"",ABS(LOG10(AC131)-LOG10(X131)))</x:f>
        <x:v>0.11227183817720032</x:v>
      </x:c>
      <x:c r="AI131" s="85" t="str">
        <x:f>IF(OR(NOT(ISNUMBER(Y131)),NOT(ISNUMBER(Z131)),NOT(ISNUMBER(AA131)),NOT(ISNUMBER(AB131))),"",IF(AND(Y131&gt;=0.3,Y131&lt;=1.2,Z131&lt;=200,AA131&gt;=1E-4,AB131&lt;=1E-6),"PASS","FAIL"))</x:f>
        <x:v>PASS</x:v>
      </x:c>
      <x:c r="AJ131" s="85" t="str"/>
    </x:row>
    <x:row r="132">
      <x:c r="A132" s="85" t="str">
        <x:v>L0720-31</x:v>
      </x:c>
      <x:c r="B132" s="85" t="str">
        <x:v>LR119</x:v>
      </x:c>
      <x:c r="C132" s="93" t="n">
        <x:v>0.72</x:v>
      </x:c>
      <x:c r="D132" s="93" t="str">
        <x:v>Practical</x:v>
      </x:c>
      <x:c r="E132" s="93" t="n">
        <x:v>1</x:v>
      </x:c>
      <x:c r="F132" s="94" t="n">
        <x:v>392991</x:v>
      </x:c>
      <x:c r="G132" s="93" t="n">
        <x:v>0.8761253657933493</x:v>
      </x:c>
      <x:c r="H132" s="93" t="n">
        <x:v>88.86961152947838</x:v>
      </x:c>
      <x:c r="I132" s="95" t="n">
        <x:v>0.0002068</x:v>
      </x:c>
      <x:c r="J132" s="95" t="n">
        <x:v>3.473077844173642e-16</x:v>
      </x:c>
      <x:c r="K132" s="95" t="n">
        <x:v>595437272870.008</x:v>
      </x:c>
      <x:c r="L132" s="95" t="n">
        <x:v>733156219846025.9</x:v>
      </x:c>
      <x:c r="M132" s="95" t="n">
        <x:v>20.22618611330147</x:v>
      </x:c>
      <x:c r="N132" s="95" t="n">
        <x:v>835372161846394400</x:v>
      </x:c>
      <x:c r="O132" s="95" t="n">
        <x:v>23.80798640634711</x:v>
      </x:c>
      <x:c r="P132" s="93"/>
      <x:c r="Q132" s="95"/>
      <x:c r="R132" s="95"/>
      <x:c r="S132" s="97" t="n">
        <x:v>0.9966666666666667</x:v>
      </x:c>
      <x:c r="T132" s="93" t="n">
        <x:v>0.8732133333333301</x:v>
      </x:c>
      <x:c r="U132" s="98" t="n">
        <x:v>87.06368426542149</x:v>
      </x:c>
      <x:c r="V132" s="95" t="n">
        <x:v>0.00018434107069041286</x:v>
      </x:c>
      <x:c r="W132" s="95" t="n">
        <x:v>3.386243213537053e-16</x:v>
      </x:c>
      <x:c r="X132" s="95" t="n">
        <x:v>544382252147.3937</x:v>
      </x:c>
      <x:c r="Y132" s="99" t="n">
        <x:f>IFERROR(IF(ISBLANK(INDEX('Long_TCAD'!$H$2:$H$176,MATCH(B132,'Long_TCAD'!$A$2:$A$176,0))),"",INDEX('Long_TCAD'!$H$2:$H$176,MATCH(B132,'Long_TCAD'!$A$2:$A$176,0))),"")</x:f>
        <x:v>0.871</x:v>
      </x:c>
      <x:c r="Z132" s="100" t="n">
        <x:f>IFERROR(IF(ISBLANK(INDEX('Long_TCAD'!$I$2:$I$176,MATCH(B132,'Long_TCAD'!$A$2:$A$176,0))),"",INDEX('Long_TCAD'!$I$2:$I$176,MATCH(B132,'Long_TCAD'!$A$2:$A$176,0))),"")</x:f>
        <x:v>85.752</x:v>
      </x:c>
      <x:c r="AA132" s="96" t="n">
        <x:f>IFERROR(IF(ISBLANK(INDEX('Long_TCAD'!$J$2:$J$176,MATCH(B132,'Long_TCAD'!$A$2:$A$176,0))),"",INDEX('Long_TCAD'!$J$2:$J$176,MATCH(B132,'Long_TCAD'!$A$2:$A$176,0))),"")</x:f>
        <x:v>0.0001861</x:v>
      </x:c>
      <x:c r="AB132" s="96" t="n">
        <x:f>IFERROR(IF(ISBLANK(INDEX('Long_TCAD'!$K$2:$K$176,MATCH(B132,'Long_TCAD'!$A$2:$A$176,0))),"",INDEX('Long_TCAD'!$K$2:$K$176,MATCH(B132,'Long_TCAD'!$A$2:$A$176,0))),"")</x:f>
        <x:v>3.72e-16</x:v>
      </x:c>
      <x:c r="AC132" s="95" t="n">
        <x:f>IF(OR(NOT(ISNUMBER(AA132)),NOT(ISNUMBER(AB132))),"",AA132/AB132)</x:f>
        <x:v>500268817204.3011</x:v>
      </x:c>
      <x:c r="AD132" s="93" t="n">
        <x:f>IF(NOT(ISNUMBER(Y132)),"",ABS(Y132-T132)*1000)</x:f>
        <x:v>2.2133333333300698</x:v>
      </x:c>
      <x:c r="AE132" s="93" t="n">
        <x:f>IF(NOT(ISNUMBER(Z132)),"",ABS(Z132-U132))</x:f>
        <x:v>1.3116842654214906</x:v>
      </x:c>
      <x:c r="AF132" s="93" t="n">
        <x:f>IF(NOT(ISNUMBER(AA132)),"",ABS(LOG10(AA132)-LOG10(V132)))</x:f>
        <x:v>0.00412426749891992</x:v>
      </x:c>
      <x:c r="AG132" s="93" t="n">
        <x:f>IF(NOT(ISNUMBER(AB132)),"",ABS(LOG10(AB132)-LOG10(W132)))</x:f>
        <x:v>0.040824792221300754</x:v>
      </x:c>
      <x:c r="AH132" s="93" t="n">
        <x:f>IF(NOT(ISNUMBER(AC132)),"",ABS(LOG10(AC132)-LOG10(X132)))</x:f>
        <x:v>0.03670052472229912</x:v>
      </x:c>
      <x:c r="AI132" s="85" t="str">
        <x:f>IF(OR(NOT(ISNUMBER(Y132)),NOT(ISNUMBER(Z132)),NOT(ISNUMBER(AA132)),NOT(ISNUMBER(AB132))),"",IF(AND(Y132&gt;=0.3,Y132&lt;=1.2,Z132&lt;=200,AA132&gt;=1E-4,AB132&lt;=1E-6),"PASS","FAIL"))</x:f>
        <x:v>PASS</x:v>
      </x:c>
      <x:c r="AJ132" s="85" t="str"/>
    </x:row>
    <x:row r="133">
      <x:c r="A133" s="85" t="str">
        <x:v>L0720-32</x:v>
      </x:c>
      <x:c r="B133" s="85" t="str">
        <x:v>LR120</x:v>
      </x:c>
      <x:c r="C133" s="93" t="n">
        <x:v>0.72</x:v>
      </x:c>
      <x:c r="D133" s="93" t="str">
        <x:v>Practical</x:v>
      </x:c>
      <x:c r="E133" s="93" t="n">
        <x:v>1</x:v>
      </x:c>
      <x:c r="F133" s="94" t="n">
        <x:v>411342</x:v>
      </x:c>
      <x:c r="G133" s="93" t="n">
        <x:v>0.8737542280947143</x:v>
      </x:c>
      <x:c r="H133" s="93" t="n">
        <x:v>86.4385429761894</x:v>
      </x:c>
      <x:c r="I133" s="95" t="n">
        <x:v>0.0001312</x:v>
      </x:c>
      <x:c r="J133" s="95" t="n">
        <x:v>3.6816587156506604e-16</x:v>
      </x:c>
      <x:c r="K133" s="95" t="n">
        <x:v>356361113653.1241</x:v>
      </x:c>
      <x:c r="L133" s="95" t="n">
        <x:v>2532614310286.816</x:v>
      </x:c>
      <x:c r="M133" s="95" t="n">
        <x:v>69.12171006088417</x:v>
      </x:c>
      <x:c r="N133" s="95" t="n">
        <x:v>5439820338253552</x:v>
      </x:c>
      <x:c r="O133" s="95" t="n">
        <x:v>23.710606072578145</x:v>
      </x:c>
      <x:c r="P133" s="93"/>
      <x:c r="Q133" s="95"/>
      <x:c r="R133" s="95"/>
      <x:c r="S133" s="97" t="n">
        <x:v>1</x:v>
      </x:c>
      <x:c r="T133" s="93" t="n">
        <x:v>0.8699833333333357</x:v>
      </x:c>
      <x:c r="U133" s="98" t="n">
        <x:v>86.16187972079913</x:v>
      </x:c>
      <x:c r="V133" s="95" t="n">
        <x:v>0.0001309781962274753</x:v>
      </x:c>
      <x:c r="W133" s="95" t="n">
        <x:v>3.5912806633889613e-16</x:v>
      </x:c>
      <x:c r="X133" s="95" t="n">
        <x:v>364711668354.7532</x:v>
      </x:c>
      <x:c r="Y133" s="99" t="n">
        <x:f>IFERROR(IF(ISBLANK(INDEX('Long_TCAD'!$H$2:$H$176,MATCH(B133,'Long_TCAD'!$A$2:$A$176,0))),"",INDEX('Long_TCAD'!$H$2:$H$176,MATCH(B133,'Long_TCAD'!$A$2:$A$176,0))),"")</x:f>
        <x:v>0.875</x:v>
      </x:c>
      <x:c r="Z133" s="100" t="n">
        <x:f>IFERROR(IF(ISBLANK(INDEX('Long_TCAD'!$I$2:$I$176,MATCH(B133,'Long_TCAD'!$A$2:$A$176,0))),"",INDEX('Long_TCAD'!$I$2:$I$176,MATCH(B133,'Long_TCAD'!$A$2:$A$176,0))),"")</x:f>
        <x:v>85.304</x:v>
      </x:c>
      <x:c r="AA133" s="96" t="n">
        <x:f>IFERROR(IF(ISBLANK(INDEX('Long_TCAD'!$J$2:$J$176,MATCH(B133,'Long_TCAD'!$A$2:$A$176,0))),"",INDEX('Long_TCAD'!$J$2:$J$176,MATCH(B133,'Long_TCAD'!$A$2:$A$176,0))),"")</x:f>
        <x:v>0.000164</x:v>
      </x:c>
      <x:c r="AB133" s="96" t="n">
        <x:f>IFERROR(IF(ISBLANK(INDEX('Long_TCAD'!$K$2:$K$176,MATCH(B133,'Long_TCAD'!$A$2:$A$176,0))),"",INDEX('Long_TCAD'!$K$2:$K$176,MATCH(B133,'Long_TCAD'!$A$2:$A$176,0))),"")</x:f>
        <x:v>4.025e-16</x:v>
      </x:c>
      <x:c r="AC133" s="95" t="n">
        <x:f>IF(OR(NOT(ISNUMBER(AA133)),NOT(ISNUMBER(AB133))),"",AA133/AB133)</x:f>
        <x:v>407453416149.06836</x:v>
      </x:c>
      <x:c r="AD133" s="93" t="n">
        <x:f>IF(NOT(ISNUMBER(Y133)),"",ABS(Y133-T133)*1000)</x:f>
        <x:v>5.016666666664338</x:v>
      </x:c>
      <x:c r="AE133" s="93" t="n">
        <x:f>IF(NOT(ISNUMBER(Z133)),"",ABS(Z133-U133))</x:f>
        <x:v>0.8578797207991329</x:v>
      </x:c>
      <x:c r="AF133" s="93" t="n">
        <x:f>IF(NOT(ISNUMBER(AA133)),"",ABS(LOG10(AA133)-LOG10(V133)))</x:f>
        <x:v>0.09764484282107011</x:v>
      </x:c>
      <x:c r="AG133" s="93" t="n">
        <x:f>IF(NOT(ISNUMBER(AB133)),"",ABS(LOG10(AB133)-LOG10(W133)))</x:f>
        <x:v>0.04951653755670016</x:v>
      </x:c>
      <x:c r="AH133" s="93" t="n">
        <x:f>IF(NOT(ISNUMBER(AC133)),"",ABS(LOG10(AC133)-LOG10(X133)))</x:f>
        <x:v>0.048128305264400595</x:v>
      </x:c>
      <x:c r="AI133" s="85" t="str">
        <x:f>IF(OR(NOT(ISNUMBER(Y133)),NOT(ISNUMBER(Z133)),NOT(ISNUMBER(AA133)),NOT(ISNUMBER(AB133))),"",IF(AND(Y133&gt;=0.3,Y133&lt;=1.2,Z133&lt;=200,AA133&gt;=1E-4,AB133&lt;=1E-6),"PASS","FAIL"))</x:f>
        <x:v>PASS</x:v>
      </x:c>
      <x:c r="AJ133" s="85" t="str"/>
    </x:row>
    <x:row r="134">
      <x:c r="A134" s="85" t="str">
        <x:v>L0720-33</x:v>
      </x:c>
      <x:c r="B134" s="85" t="str">
        <x:v>LR121</x:v>
      </x:c>
      <x:c r="C134" s="93" t="n">
        <x:v>0.72</x:v>
      </x:c>
      <x:c r="D134" s="93" t="str">
        <x:v>Practical</x:v>
      </x:c>
      <x:c r="E134" s="93" t="n">
        <x:v>1</x:v>
      </x:c>
      <x:c r="F134" s="94" t="n">
        <x:v>403551</x:v>
      </x:c>
      <x:c r="G134" s="93" t="n">
        <x:v>0.8777944914271926</x:v>
      </x:c>
      <x:c r="H134" s="93" t="n">
        <x:v>83.466</x:v>
      </x:c>
      <x:c r="I134" s="95" t="n">
        <x:v>0.0001750064691099484</x:v>
      </x:c>
      <x:c r="J134" s="95" t="n">
        <x:v>4.601415769386906e-16</x:v>
      </x:c>
      <x:c r="K134" s="95" t="n">
        <x:v>380331788912.1468</x:v>
      </x:c>
      <x:c r="L134" s="95" t="n">
        <x:v>69967161626891.305</x:v>
      </x:c>
      <x:c r="M134" s="95" t="n">
        <x:v>10.948886491674676</x:v>
      </x:c>
      <x:c r="N134" s="95" t="n">
        <x:v>251418357197743800</x:v>
      </x:c>
      <x:c r="O134" s="95" t="n">
        <x:v>24.74776772878287</x:v>
      </x:c>
      <x:c r="P134" s="93"/>
      <x:c r="Q134" s="95"/>
      <x:c r="R134" s="95"/>
      <x:c r="S134" s="97" t="n">
        <x:v>0.9933333333333333</x:v>
      </x:c>
      <x:c r="T134" s="93" t="n">
        <x:v>0.8793199999999975</x:v>
      </x:c>
      <x:c r="U134" s="98" t="n">
        <x:v>86.00603722310403</x:v>
      </x:c>
      <x:c r="V134" s="95" t="n">
        <x:v>0.00017519291036240182</x:v>
      </x:c>
      <x:c r="W134" s="95" t="n">
        <x:v>4.634140035655083e-16</x:v>
      </x:c>
      <x:c r="X134" s="95" t="n">
        <x:v>378048373623.73004</x:v>
      </x:c>
      <x:c r="Y134" s="99" t="n">
        <x:f>IFERROR(IF(ISBLANK(INDEX('Long_TCAD'!$H$2:$H$176,MATCH(B134,'Long_TCAD'!$A$2:$A$176,0))),"",INDEX('Long_TCAD'!$H$2:$H$176,MATCH(B134,'Long_TCAD'!$A$2:$A$176,0))),"")</x:f>
        <x:v>0.871</x:v>
      </x:c>
      <x:c r="Z134" s="100" t="n">
        <x:f>IFERROR(IF(ISBLANK(INDEX('Long_TCAD'!$I$2:$I$176,MATCH(B134,'Long_TCAD'!$A$2:$A$176,0))),"",INDEX('Long_TCAD'!$I$2:$I$176,MATCH(B134,'Long_TCAD'!$A$2:$A$176,0))),"")</x:f>
        <x:v>85.805</x:v>
      </x:c>
      <x:c r="AA134" s="96" t="n">
        <x:f>IFERROR(IF(ISBLANK(INDEX('Long_TCAD'!$J$2:$J$176,MATCH(B134,'Long_TCAD'!$A$2:$A$176,0))),"",INDEX('Long_TCAD'!$J$2:$J$176,MATCH(B134,'Long_TCAD'!$A$2:$A$176,0))),"")</x:f>
        <x:v>0.0001828</x:v>
      </x:c>
      <x:c r="AB134" s="96" t="n">
        <x:f>IFERROR(IF(ISBLANK(INDEX('Long_TCAD'!$K$2:$K$176,MATCH(B134,'Long_TCAD'!$A$2:$A$176,0))),"",INDEX('Long_TCAD'!$K$2:$K$176,MATCH(B134,'Long_TCAD'!$A$2:$A$176,0))),"")</x:f>
        <x:v>4.234e-16</x:v>
      </x:c>
      <x:c r="AC134" s="95" t="n">
        <x:f>IF(OR(NOT(ISNUMBER(AA134)),NOT(ISNUMBER(AB134))),"",AA134/AB134)</x:f>
        <x:v>431743032593.2924</x:v>
      </x:c>
      <x:c r="AD134" s="93" t="n">
        <x:f>IF(NOT(ISNUMBER(Y134)),"",ABS(Y134-T134)*1000)</x:f>
        <x:v>8.319999999997552</x:v>
      </x:c>
      <x:c r="AE134" s="93" t="n">
        <x:f>IF(NOT(ISNUMBER(Z134)),"",ABS(Z134-U134))</x:f>
        <x:v>0.2010372231040236</x:v>
      </x:c>
      <x:c r="AF134" s="93" t="n">
        <x:f>IF(NOT(ISNUMBER(AA134)),"",ABS(LOG10(AA134)-LOG10(V134)))</x:f>
        <x:v>0.018459664067949966</x:v>
      </x:c>
      <x:c r="AG134" s="93" t="n">
        <x:f>IF(NOT(ISNUMBER(AB134)),"",ABS(LOG10(AB134)-LOG10(W134)))</x:f>
        <x:v>0.03921829959299927</x:v>
      </x:c>
      <x:c r="AH134" s="93" t="n">
        <x:f>IF(NOT(ISNUMBER(AC134)),"",ABS(LOG10(AC134)-LOG10(X134)))</x:f>
        <x:v>0.057677963660999865</x:v>
      </x:c>
      <x:c r="AI134" s="85" t="str">
        <x:f>IF(OR(NOT(ISNUMBER(Y134)),NOT(ISNUMBER(Z134)),NOT(ISNUMBER(AA134)),NOT(ISNUMBER(AB134))),"",IF(AND(Y134&gt;=0.3,Y134&lt;=1.2,Z134&lt;=200,AA134&gt;=1E-4,AB134&lt;=1E-6),"PASS","FAIL"))</x:f>
        <x:v>PASS</x:v>
      </x:c>
      <x:c r="AJ134" s="85" t="str"/>
    </x:row>
    <x:row r="135">
      <x:c r="A135" s="85" t="str">
        <x:v>L0720-34</x:v>
      </x:c>
      <x:c r="B135" s="85" t="str">
        <x:v>LR122</x:v>
      </x:c>
      <x:c r="C135" s="93" t="n">
        <x:v>0.72</x:v>
      </x:c>
      <x:c r="D135" s="93" t="str">
        <x:v>Practical</x:v>
      </x:c>
      <x:c r="E135" s="93" t="n">
        <x:v>1</x:v>
      </x:c>
      <x:c r="F135" s="94" t="n">
        <x:v>403964</x:v>
      </x:c>
      <x:c r="G135" s="93" t="n">
        <x:v>0.8803654853169022</x:v>
      </x:c>
      <x:c r="H135" s="93" t="n">
        <x:v>83.466</x:v>
      </x:c>
      <x:c r="I135" s="95" t="n">
        <x:v>0.00018100210635093868</x:v>
      </x:c>
      <x:c r="J135" s="95" t="n">
        <x:v>4.465854760197831e-16</x:v>
      </x:c>
      <x:c r="K135" s="95" t="n">
        <x:v>405302268143.894</x:v>
      </x:c>
      <x:c r="L135" s="95" t="n">
        <x:v>683144320697125.1</x:v>
      </x:c>
      <x:c r="M135" s="95" t="n">
        <x:v>49.932666267788505</x:v>
      </x:c>
      <x:c r="N135" s="95" t="n">
        <x:v>5374337931304813</x:v>
      </x:c>
      <x:c r="O135" s="95" t="n">
        <x:v>22.51046109198847</x:v>
      </x:c>
      <x:c r="P135" s="93"/>
      <x:c r="Q135" s="95"/>
      <x:c r="R135" s="95"/>
      <x:c r="S135" s="97" t="n">
        <x:v>0.9733333333333334</x:v>
      </x:c>
      <x:c r="T135" s="93" t="n">
        <x:v>0.8741066666666643</x:v>
      </x:c>
      <x:c r="U135" s="98" t="n">
        <x:v>85.91331230750109</x:v>
      </x:c>
      <x:c r="V135" s="95" t="n">
        <x:v>0.00018104691184267044</x:v>
      </x:c>
      <x:c r="W135" s="95" t="n">
        <x:v>4.459822681951778e-16</x:v>
      </x:c>
      <x:c r="X135" s="95" t="n">
        <x:v>405950919473.41235</x:v>
      </x:c>
      <x:c r="Y135" s="99" t="n">
        <x:f>IFERROR(IF(ISBLANK(INDEX('Long_TCAD'!$H$2:$H$176,MATCH(B135,'Long_TCAD'!$A$2:$A$176,0))),"",INDEX('Long_TCAD'!$H$2:$H$176,MATCH(B135,'Long_TCAD'!$A$2:$A$176,0))),"")</x:f>
        <x:v>0.875</x:v>
      </x:c>
      <x:c r="Z135" s="100" t="n">
        <x:f>IFERROR(IF(ISBLANK(INDEX('Long_TCAD'!$I$2:$I$176,MATCH(B135,'Long_TCAD'!$A$2:$A$176,0))),"",INDEX('Long_TCAD'!$I$2:$I$176,MATCH(B135,'Long_TCAD'!$A$2:$A$176,0))),"")</x:f>
        <x:v>85.944</x:v>
      </x:c>
      <x:c r="AA135" s="96" t="n">
        <x:f>IFERROR(IF(ISBLANK(INDEX('Long_TCAD'!$J$2:$J$176,MATCH(B135,'Long_TCAD'!$A$2:$A$176,0))),"",INDEX('Long_TCAD'!$J$2:$J$176,MATCH(B135,'Long_TCAD'!$A$2:$A$176,0))),"")</x:f>
        <x:v>0.0001805</x:v>
      </x:c>
      <x:c r="AB135" s="96" t="n">
        <x:f>IFERROR(IF(ISBLANK(INDEX('Long_TCAD'!$K$2:$K$176,MATCH(B135,'Long_TCAD'!$A$2:$A$176,0))),"",INDEX('Long_TCAD'!$K$2:$K$176,MATCH(B135,'Long_TCAD'!$A$2:$A$176,0))),"")</x:f>
        <x:v>4.742e-16</x:v>
      </x:c>
      <x:c r="AC135" s="95" t="n">
        <x:f>IF(OR(NOT(ISNUMBER(AA135)),NOT(ISNUMBER(AB135))),"",AA135/AB135)</x:f>
        <x:v>380641079713.2012</x:v>
      </x:c>
      <x:c r="AD135" s="93" t="n">
        <x:f>IF(NOT(ISNUMBER(Y135)),"",ABS(Y135-T135)*1000)</x:f>
        <x:v>0.893333333335744</x:v>
      </x:c>
      <x:c r="AE135" s="93" t="n">
        <x:f>IF(NOT(ISNUMBER(Z135)),"",ABS(Z135-U135))</x:f>
        <x:v>0.030687692498915453</x:v>
      </x:c>
      <x:c r="AF135" s="93" t="n">
        <x:f>IF(NOT(ISNUMBER(AA135)),"",ABS(LOG10(AA135)-LOG10(V135)))</x:f>
        <x:v>0.0013139151172301133</x:v>
      </x:c>
      <x:c r="AG135" s="93" t="n">
        <x:f>IF(NOT(ISNUMBER(AB135)),"",ABS(LOG10(AB135)-LOG10(W135)))</x:f>
        <x:v>0.02664395769699901</x:v>
      </x:c>
      <x:c r="AH135" s="93" t="n">
        <x:f>IF(NOT(ISNUMBER(AC135)),"",ABS(LOG10(AC135)-LOG10(X135)))</x:f>
        <x:v>0.027957872814299733</x:v>
      </x:c>
      <x:c r="AI135" s="85" t="str">
        <x:f>IF(OR(NOT(ISNUMBER(Y135)),NOT(ISNUMBER(Z135)),NOT(ISNUMBER(AA135)),NOT(ISNUMBER(AB135))),"",IF(AND(Y135&gt;=0.3,Y135&lt;=1.2,Z135&lt;=200,AA135&gt;=1E-4,AB135&lt;=1E-6),"PASS","FAIL"))</x:f>
        <x:v>PASS</x:v>
      </x:c>
      <x:c r="AJ135" s="85" t="str"/>
    </x:row>
    <x:row r="136">
      <x:c r="A136" s="85" t="str">
        <x:v>L0720-35</x:v>
      </x:c>
      <x:c r="B136" s="85" t="str">
        <x:v>LR123</x:v>
      </x:c>
      <x:c r="C136" s="93" t="n">
        <x:v>0.72</x:v>
      </x:c>
      <x:c r="D136" s="93" t="str">
        <x:v>Practical</x:v>
      </x:c>
      <x:c r="E136" s="93" t="n">
        <x:v>1</x:v>
      </x:c>
      <x:c r="F136" s="94" t="n">
        <x:v>413233</x:v>
      </x:c>
      <x:c r="G136" s="93" t="n">
        <x:v>0.8673985147017278</x:v>
      </x:c>
      <x:c r="H136" s="93" t="n">
        <x:v>88.29557004905607</x:v>
      </x:c>
      <x:c r="I136" s="95" t="n">
        <x:v>0.00014144908855192256</x:v>
      </x:c>
      <x:c r="J136" s="95" t="n">
        <x:v>4.755285058111414e-16</x:v>
      </x:c>
      <x:c r="K136" s="95" t="n">
        <x:v>297456591609.883</x:v>
      </x:c>
      <x:c r="L136" s="95" t="n">
        <x:v>40913417560923.66</x:v>
      </x:c>
      <x:c r="M136" s="95" t="n">
        <x:v>44.90586257120118</x:v>
      </x:c>
      <x:c r="N136" s="95" t="n">
        <x:v>259312055297322.06</x:v>
      </x:c>
      <x:c r="O136" s="95" t="n">
        <x:v>11.945339101547061</x:v>
      </x:c>
      <x:c r="P136" s="93"/>
      <x:c r="Q136" s="95"/>
      <x:c r="R136" s="95"/>
      <x:c r="S136" s="97" t="n">
        <x:v>1</x:v>
      </x:c>
      <x:c r="T136" s="93" t="n">
        <x:v>0.8610999999999962</x:v>
      </x:c>
      <x:c r="U136" s="98" t="n">
        <x:v>86.28914546924102</x:v>
      </x:c>
      <x:c r="V136" s="95" t="n">
        <x:v>0.0001513712562357224</x:v>
      </x:c>
      <x:c r="W136" s="95" t="n">
        <x:v>4.746179377437008e-16</x:v>
      </x:c>
      <x:c r="X136" s="95" t="n">
        <x:v>318932859881.6352</x:v>
      </x:c>
      <x:c r="Y136" s="99" t="n">
        <x:f>IFERROR(IF(ISBLANK(INDEX('Long_TCAD'!$H$2:$H$176,MATCH(B136,'Long_TCAD'!$A$2:$A$176,0))),"",INDEX('Long_TCAD'!$H$2:$H$176,MATCH(B136,'Long_TCAD'!$A$2:$A$176,0))),"")</x:f>
        <x:v>0.871</x:v>
      </x:c>
      <x:c r="Z136" s="100" t="n">
        <x:f>IFERROR(IF(ISBLANK(INDEX('Long_TCAD'!$I$2:$I$176,MATCH(B136,'Long_TCAD'!$A$2:$A$176,0))),"",INDEX('Long_TCAD'!$I$2:$I$176,MATCH(B136,'Long_TCAD'!$A$2:$A$176,0))),"")</x:f>
        <x:v>86.224</x:v>
      </x:c>
      <x:c r="AA136" s="96" t="n">
        <x:f>IFERROR(IF(ISBLANK(INDEX('Long_TCAD'!$J$2:$J$176,MATCH(B136,'Long_TCAD'!$A$2:$A$176,0))),"",INDEX('Long_TCAD'!$J$2:$J$176,MATCH(B136,'Long_TCAD'!$A$2:$A$176,0))),"")</x:f>
        <x:v>0.0001652</x:v>
      </x:c>
      <x:c r="AB136" s="96" t="n">
        <x:f>IFERROR(IF(ISBLANK(INDEX('Long_TCAD'!$K$2:$K$176,MATCH(B136,'Long_TCAD'!$A$2:$A$176,0))),"",INDEX('Long_TCAD'!$K$2:$K$176,MATCH(B136,'Long_TCAD'!$A$2:$A$176,0))),"")</x:f>
        <x:v>5.086e-16</x:v>
      </x:c>
      <x:c r="AC136" s="95" t="n">
        <x:f>IF(OR(NOT(ISNUMBER(AA136)),NOT(ISNUMBER(AB136))),"",AA136/AB136)</x:f>
        <x:v>324813212740.85724</x:v>
      </x:c>
      <x:c r="AD136" s="93" t="n">
        <x:f>IF(NOT(ISNUMBER(Y136)),"",ABS(Y136-T136)*1000)</x:f>
        <x:v>9.900000000003795</x:v>
      </x:c>
      <x:c r="AE136" s="93" t="n">
        <x:f>IF(NOT(ISNUMBER(Z136)),"",ABS(Z136-U136))</x:f>
        <x:v>0.06514546924101694</x:v>
      </x:c>
      <x:c r="AF136" s="93" t="n">
        <x:f>IF(NOT(ISNUMBER(AA136)),"",ABS(LOG10(AA136)-LOG10(V136)))</x:f>
        <x:v>0.03796662781605997</x:v>
      </x:c>
      <x:c r="AG136" s="93" t="n">
        <x:f>IF(NOT(ISNUMBER(AB136)),"",ABS(LOG10(AB136)-LOG10(W136)))</x:f>
        <x:v>0.030032207891999008</x:v>
      </x:c>
      <x:c r="AH136" s="93" t="n">
        <x:f>IF(NOT(ISNUMBER(AC136)),"",ABS(LOG10(AC136)-LOG10(X136)))</x:f>
        <x:v>0.0079344199240996</x:v>
      </x:c>
      <x:c r="AI136" s="85" t="str">
        <x:f>IF(OR(NOT(ISNUMBER(Y136)),NOT(ISNUMBER(Z136)),NOT(ISNUMBER(AA136)),NOT(ISNUMBER(AB136))),"",IF(AND(Y136&gt;=0.3,Y136&lt;=1.2,Z136&lt;=200,AA136&gt;=1E-4,AB136&lt;=1E-6),"PASS","FAIL"))</x:f>
        <x:v>PASS</x:v>
      </x:c>
      <x:c r="AJ136" s="85" t="str"/>
    </x:row>
    <x:row r="137">
      <x:c r="A137" s="85" t="str">
        <x:v>L0720-36</x:v>
      </x:c>
      <x:c r="B137" s="85" t="str">
        <x:v>LR096</x:v>
      </x:c>
      <x:c r="C137" s="93" t="n">
        <x:v>0.72</x:v>
      </x:c>
      <x:c r="D137" s="93" t="str">
        <x:v>Practical</x:v>
      </x:c>
      <x:c r="E137" s="93" t="n">
        <x:v>1</x:v>
      </x:c>
      <x:c r="F137" s="94" t="n">
        <x:v>404933</x:v>
      </x:c>
      <x:c r="G137" s="93" t="n">
        <x:v>0.8770140374792762</x:v>
      </x:c>
      <x:c r="H137" s="93" t="n">
        <x:v>83.466</x:v>
      </x:c>
      <x:c r="I137" s="95" t="n">
        <x:v>0.00015556911966193578</x:v>
      </x:c>
      <x:c r="J137" s="95" t="n">
        <x:v>3.4297458764064526e-16</x:v>
      </x:c>
      <x:c r="K137" s="95" t="n">
        <x:v>453587890380.18976</x:v>
      </x:c>
      <x:c r="L137" s="95" t="n">
        <x:v>52020797972200.28</x:v>
      </x:c>
      <x:c r="M137" s="95" t="n">
        <x:v>13.199092320203057</x:v>
      </x:c>
      <x:c r="N137" s="95" t="n">
        <x:v>5127642465989565</x:v>
      </x:c>
      <x:c r="O137" s="95" t="n">
        <x:v>20.1105931484594</x:v>
      </x:c>
      <x:c r="P137" s="93"/>
      <x:c r="Q137" s="95"/>
      <x:c r="R137" s="95"/>
      <x:c r="S137" s="97" t="n">
        <x:v>1</x:v>
      </x:c>
      <x:c r="T137" s="93" t="n">
        <x:v>0.8806866666666656</x:v>
      </x:c>
      <x:c r="U137" s="98" t="n">
        <x:v>85.80822745806051</x:v>
      </x:c>
      <x:c r="V137" s="95" t="n">
        <x:v>0.00015948785650090653</x:v>
      </x:c>
      <x:c r="W137" s="95" t="n">
        <x:v>3.449567953029597e-16</x:v>
      </x:c>
      <x:c r="X137" s="95" t="n">
        <x:v>462341541527.9345</x:v>
      </x:c>
      <x:c r="Y137" s="99" t="n">
        <x:f>IFERROR(IF(ISBLANK(INDEX('Long_TCAD'!$H$2:$H$176,MATCH(B137,'Long_TCAD'!$A$2:$A$176,0))),"",INDEX('Long_TCAD'!$H$2:$H$176,MATCH(B137,'Long_TCAD'!$A$2:$A$176,0))),"")</x:f>
        <x:v>0.882</x:v>
      </x:c>
      <x:c r="Z137" s="100" t="n">
        <x:f>IFERROR(IF(ISBLANK(INDEX('Long_TCAD'!$I$2:$I$176,MATCH(B137,'Long_TCAD'!$A$2:$A$176,0))),"",INDEX('Long_TCAD'!$I$2:$I$176,MATCH(B137,'Long_TCAD'!$A$2:$A$176,0))),"")</x:f>
        <x:v>86.154</x:v>
      </x:c>
      <x:c r="AA137" s="96" t="n">
        <x:f>IFERROR(IF(ISBLANK(INDEX('Long_TCAD'!$J$2:$J$176,MATCH(B137,'Long_TCAD'!$A$2:$A$176,0))),"",INDEX('Long_TCAD'!$J$2:$J$176,MATCH(B137,'Long_TCAD'!$A$2:$A$176,0))),"")</x:f>
        <x:v>0.0001698</x:v>
      </x:c>
      <x:c r="AB137" s="96" t="n">
        <x:f>IFERROR(IF(ISBLANK(INDEX('Long_TCAD'!$K$2:$K$176,MATCH(B137,'Long_TCAD'!$A$2:$A$176,0))),"",INDEX('Long_TCAD'!$K$2:$K$176,MATCH(B137,'Long_TCAD'!$A$2:$A$176,0))),"")</x:f>
        <x:v>3.248e-16</x:v>
      </x:c>
      <x:c r="AC137" s="95" t="n">
        <x:f>IF(OR(NOT(ISNUMBER(AA137)),NOT(ISNUMBER(AB137))),"",AA137/AB137)</x:f>
        <x:v>522783251231.5271</x:v>
      </x:c>
      <x:c r="AD137" s="93" t="n">
        <x:f>IF(NOT(ISNUMBER(Y137)),"",ABS(Y137-T137)*1000)</x:f>
        <x:v>1.3133333333343877</x:v>
      </x:c>
      <x:c r="AE137" s="93" t="n">
        <x:f>IF(NOT(ISNUMBER(Z137)),"",ABS(Z137-U137))</x:f>
        <x:v>0.3457725419394819</x:v>
      </x:c>
      <x:c r="AF137" s="93" t="n">
        <x:f>IF(NOT(ISNUMBER(AA137)),"",ABS(LOG10(AA137)-LOG10(V137)))</x:f>
        <x:v>0.027210064692909874</x:v>
      </x:c>
      <x:c r="AG137" s="93" t="n">
        <x:f>IF(NOT(ISNUMBER(AB137)),"",ABS(LOG10(AB137)-LOG10(W137)))</x:f>
        <x:v>0.026148683963599595</x:v>
      </x:c>
      <x:c r="AH137" s="93" t="n">
        <x:f>IF(NOT(ISNUMBER(AC137)),"",ABS(LOG10(AC137)-LOG10(X137)))</x:f>
        <x:v>0.0533587486564997</x:v>
      </x:c>
      <x:c r="AI137" s="85" t="str">
        <x:f>IF(OR(NOT(ISNUMBER(Y137)),NOT(ISNUMBER(Z137)),NOT(ISNUMBER(AA137)),NOT(ISNUMBER(AB137))),"",IF(AND(Y137&gt;=0.3,Y137&lt;=1.2,Z137&lt;=200,AA137&gt;=1E-4,AB137&lt;=1E-6),"PASS","FAIL"))</x:f>
        <x:v>PASS</x:v>
      </x:c>
      <x:c r="AJ137" s="85" t="str"/>
    </x:row>
    <x:row r="138">
      <x:c r="A138" s="85" t="str">
        <x:v>L0720-37</x:v>
      </x:c>
      <x:c r="B138" s="85" t="str">
        <x:v>LR117</x:v>
      </x:c>
      <x:c r="C138" s="93" t="n">
        <x:v>0.72</x:v>
      </x:c>
      <x:c r="D138" s="93" t="str">
        <x:v>Practical</x:v>
      </x:c>
      <x:c r="E138" s="93" t="n">
        <x:v>1</x:v>
      </x:c>
      <x:c r="F138" s="94" t="n">
        <x:v>395137</x:v>
      </x:c>
      <x:c r="G138" s="93" t="n">
        <x:v>0.8716843578147172</x:v>
      </x:c>
      <x:c r="H138" s="93" t="n">
        <x:v>83.466</x:v>
      </x:c>
      <x:c r="I138" s="95" t="n">
        <x:v>0.0002068</x:v>
      </x:c>
      <x:c r="J138" s="95" t="n">
        <x:v>3.604021778412131e-16</x:v>
      </x:c>
      <x:c r="K138" s="95" t="n">
        <x:v>573803413838.1719</x:v>
      </x:c>
      <x:c r="L138" s="95" t="n">
        <x:v>681030451940438.9</x:v>
      </x:c>
      <x:c r="M138" s="95" t="n">
        <x:v>57.09747005469589</x:v>
      </x:c>
      <x:c r="N138" s="95" t="n">
        <x:v>821972967180388100</x:v>
      </x:c>
      <x:c r="O138" s="95" t="n">
        <x:v>23.795655755595106</x:v>
      </x:c>
      <x:c r="P138" s="93"/>
      <x:c r="Q138" s="95"/>
      <x:c r="R138" s="95"/>
      <x:c r="S138" s="97" t="n">
        <x:v>1</x:v>
      </x:c>
      <x:c r="T138" s="93" t="n">
        <x:v>0.8733033333333299</x:v>
      </x:c>
      <x:c r="U138" s="98" t="n">
        <x:v>85.8937086318915</x:v>
      </x:c>
      <x:c r="V138" s="95" t="n">
        <x:v>0.00018525520473559106</x:v>
      </x:c>
      <x:c r="W138" s="95" t="n">
        <x:v>3.502523943004959e-16</x:v>
      </x:c>
      <x:c r="X138" s="95" t="n">
        <x:v>528919167292.4097</x:v>
      </x:c>
      <x:c r="Y138" s="99" t="n">
        <x:f>IFERROR(IF(ISBLANK(INDEX('Long_TCAD'!$H$2:$H$176,MATCH(B138,'Long_TCAD'!$A$2:$A$176,0))),"",INDEX('Long_TCAD'!$H$2:$H$176,MATCH(B138,'Long_TCAD'!$A$2:$A$176,0))),"")</x:f>
        <x:v>0.869</x:v>
      </x:c>
      <x:c r="Z138" s="100" t="n">
        <x:f>IFERROR(IF(ISBLANK(INDEX('Long_TCAD'!$I$2:$I$176,MATCH(B138,'Long_TCAD'!$A$2:$A$176,0))),"",INDEX('Long_TCAD'!$I$2:$I$176,MATCH(B138,'Long_TCAD'!$A$2:$A$176,0))),"")</x:f>
        <x:v>85.421</x:v>
      </x:c>
      <x:c r="AA138" s="96" t="n">
        <x:f>IFERROR(IF(ISBLANK(INDEX('Long_TCAD'!$J$2:$J$176,MATCH(B138,'Long_TCAD'!$A$2:$A$176,0))),"",INDEX('Long_TCAD'!$J$2:$J$176,MATCH(B138,'Long_TCAD'!$A$2:$A$176,0))),"")</x:f>
        <x:v>0.0001867</x:v>
      </x:c>
      <x:c r="AB138" s="96" t="n">
        <x:f>IFERROR(IF(ISBLANK(INDEX('Long_TCAD'!$K$2:$K$176,MATCH(B138,'Long_TCAD'!$A$2:$A$176,0))),"",INDEX('Long_TCAD'!$K$2:$K$176,MATCH(B138,'Long_TCAD'!$A$2:$A$176,0))),"")</x:f>
        <x:v>4.101e-16</x:v>
      </x:c>
      <x:c r="AC138" s="95" t="n">
        <x:f>IF(OR(NOT(ISNUMBER(AA138)),NOT(ISNUMBER(AB138))),"",AA138/AB138)</x:f>
        <x:v>455254815898.56134</x:v>
      </x:c>
      <x:c r="AD138" s="93" t="n">
        <x:f>IF(NOT(ISNUMBER(Y138)),"",ABS(Y138-T138)*1000)</x:f>
        <x:v>4.303333333329884</x:v>
      </x:c>
      <x:c r="AE138" s="93" t="n">
        <x:f>IF(NOT(ISNUMBER(Z138)),"",ABS(Z138-U138))</x:f>
        <x:v>0.4727086318914928</x:v>
      </x:c>
      <x:c r="AF138" s="93" t="n">
        <x:f>IF(NOT(ISNUMBER(AA138)),"",ABS(LOG10(AA138)-LOG10(V138)))</x:f>
        <x:v>0.0033738996448500203</x:v>
      </x:c>
      <x:c r="AG138" s="93" t="n">
        <x:f>IF(NOT(ISNUMBER(AB138)),"",ABS(LOG10(AB138)-LOG10(W138)))</x:f>
        <x:v>0.06850865651330018</x:v>
      </x:c>
      <x:c r="AH138" s="93" t="n">
        <x:f>IF(NOT(ISNUMBER(AC138)),"",ABS(LOG10(AC138)-LOG10(X138)))</x:f>
        <x:v>0.06513475686840131</x:v>
      </x:c>
      <x:c r="AI138" s="85" t="str">
        <x:f>IF(OR(NOT(ISNUMBER(Y138)),NOT(ISNUMBER(Z138)),NOT(ISNUMBER(AA138)),NOT(ISNUMBER(AB138))),"",IF(AND(Y138&gt;=0.3,Y138&lt;=1.2,Z138&lt;=200,AA138&gt;=1E-4,AB138&lt;=1E-6),"PASS","FAIL"))</x:f>
        <x:v>PASS</x:v>
      </x:c>
      <x:c r="AJ138" s="85" t="str"/>
    </x:row>
    <x:row r="139">
      <x:c r="A139" s="85" t="str">
        <x:v>L0720-38</x:v>
      </x:c>
      <x:c r="B139" s="85" t="str">
        <x:v>LR124</x:v>
      </x:c>
      <x:c r="C139" s="93" t="n">
        <x:v>0.72</x:v>
      </x:c>
      <x:c r="D139" s="93" t="str">
        <x:v>Practical</x:v>
      </x:c>
      <x:c r="E139" s="93" t="n">
        <x:v>1</x:v>
      </x:c>
      <x:c r="F139" s="94" t="n">
        <x:v>411112</x:v>
      </x:c>
      <x:c r="G139" s="93" t="n">
        <x:v>0.875477304743132</x:v>
      </x:c>
      <x:c r="H139" s="93" t="n">
        <x:v>83.466</x:v>
      </x:c>
      <x:c r="I139" s="95" t="n">
        <x:v>0.00015189456135633703</x:v>
      </x:c>
      <x:c r="J139" s="95" t="n">
        <x:v>4.518008761363508e-16</x:v>
      </x:c>
      <x:c r="K139" s="95" t="n">
        <x:v>336198023021.3103</x:v>
      </x:c>
      <x:c r="L139" s="95" t="n">
        <x:v>11661194083283.365</x:v>
      </x:c>
      <x:c r="M139" s="95" t="n">
        <x:v>10.534130153083153</x:v>
      </x:c>
      <x:c r="N139" s="95" t="n">
        <x:v>147458070542835.16</x:v>
      </x:c>
      <x:c r="O139" s="95" t="n">
        <x:v>36.05637732093673</x:v>
      </x:c>
      <x:c r="P139" s="93"/>
      <x:c r="Q139" s="95"/>
      <x:c r="R139" s="95"/>
      <x:c r="S139" s="97" t="n">
        <x:v>1</x:v>
      </x:c>
      <x:c r="T139" s="93" t="n">
        <x:v>0.8645500000000029</x:v>
      </x:c>
      <x:c r="U139" s="98" t="n">
        <x:v>86.11266676078125</x:v>
      </x:c>
      <x:c r="V139" s="95" t="n">
        <x:v>0.00015536427126879165</x:v>
      </x:c>
      <x:c r="W139" s="95" t="n">
        <x:v>4.409196061189352e-16</x:v>
      </x:c>
      <x:c r="X139" s="95" t="n">
        <x:v>352364170503.4163</x:v>
      </x:c>
      <x:c r="Y139" s="99" t="n">
        <x:f>IFERROR(IF(ISBLANK(INDEX('Long_TCAD'!$H$2:$H$176,MATCH(B139,'Long_TCAD'!$A$2:$A$176,0))),"",INDEX('Long_TCAD'!$H$2:$H$176,MATCH(B139,'Long_TCAD'!$A$2:$A$176,0))),"")</x:f>
        <x:v>0.875</x:v>
      </x:c>
      <x:c r="Z139" s="100" t="n">
        <x:f>IFERROR(IF(ISBLANK(INDEX('Long_TCAD'!$I$2:$I$176,MATCH(B139,'Long_TCAD'!$A$2:$A$176,0))),"",INDEX('Long_TCAD'!$I$2:$I$176,MATCH(B139,'Long_TCAD'!$A$2:$A$176,0))),"")</x:f>
        <x:v>86.774</x:v>
      </x:c>
      <x:c r="AA139" s="96" t="n">
        <x:f>IFERROR(IF(ISBLANK(INDEX('Long_TCAD'!$J$2:$J$176,MATCH(B139,'Long_TCAD'!$A$2:$A$176,0))),"",INDEX('Long_TCAD'!$J$2:$J$176,MATCH(B139,'Long_TCAD'!$A$2:$A$176,0))),"")</x:f>
        <x:v>0.0001566</x:v>
      </x:c>
      <x:c r="AB139" s="96" t="n">
        <x:f>IFERROR(IF(ISBLANK(INDEX('Long_TCAD'!$K$2:$K$176,MATCH(B139,'Long_TCAD'!$A$2:$A$176,0))),"",INDEX('Long_TCAD'!$K$2:$K$176,MATCH(B139,'Long_TCAD'!$A$2:$A$176,0))),"")</x:f>
        <x:v>3.516e-16</x:v>
      </x:c>
      <x:c r="AC139" s="95" t="n">
        <x:f>IF(OR(NOT(ISNUMBER(AA139)),NOT(ISNUMBER(AB139))),"",AA139/AB139)</x:f>
        <x:v>445392491467.57684</x:v>
      </x:c>
      <x:c r="AD139" s="93" t="n">
        <x:f>IF(NOT(ISNUMBER(Y139)),"",ABS(Y139-T139)*1000)</x:f>
        <x:v>10.449999999997072</x:v>
      </x:c>
      <x:c r="AE139" s="93" t="n">
        <x:f>IF(NOT(ISNUMBER(Z139)),"",ABS(Z139-U139))</x:f>
        <x:v>0.6613332392187488</x:v>
      </x:c>
      <x:c r="AF139" s="93" t="n">
        <x:f>IF(NOT(ISNUMBER(AA139)),"",ABS(LOG10(AA139)-LOG10(V139)))</x:f>
        <x:v>0.0034406053860598362</x:v>
      </x:c>
      <x:c r="AG139" s="93" t="n">
        <x:f>IF(NOT(ISNUMBER(AB139)),"",ABS(LOG10(AB139)-LOG10(W139)))</x:f>
        <x:v>0.09831054437730025</x:v>
      </x:c>
      <x:c r="AH139" s="93" t="n">
        <x:f>IF(NOT(ISNUMBER(AC139)),"",ABS(LOG10(AC139)-LOG10(X139)))</x:f>
        <x:v>0.10175114976340005</x:v>
      </x:c>
      <x:c r="AI139" s="85" t="str">
        <x:f>IF(OR(NOT(ISNUMBER(Y139)),NOT(ISNUMBER(Z139)),NOT(ISNUMBER(AA139)),NOT(ISNUMBER(AB139))),"",IF(AND(Y139&gt;=0.3,Y139&lt;=1.2,Z139&lt;=200,AA139&gt;=1E-4,AB139&lt;=1E-6),"PASS","FAIL"))</x:f>
        <x:v>PASS</x:v>
      </x:c>
      <x:c r="AJ139" s="85" t="str"/>
    </x:row>
    <x:row r="140">
      <x:c r="A140" s="85" t="str">
        <x:v>L0720-39</x:v>
      </x:c>
      <x:c r="B140" s="85" t="str">
        <x:v>LR125</x:v>
      </x:c>
      <x:c r="C140" s="93" t="n">
        <x:v>0.72</x:v>
      </x:c>
      <x:c r="D140" s="93" t="str">
        <x:v>Practical</x:v>
      </x:c>
      <x:c r="E140" s="93" t="n">
        <x:v>1</x:v>
      </x:c>
      <x:c r="F140" s="94" t="n">
        <x:v>396585</x:v>
      </x:c>
      <x:c r="G140" s="93" t="n">
        <x:v>0.8768993199117365</x:v>
      </x:c>
      <x:c r="H140" s="93" t="n">
        <x:v>91.597</x:v>
      </x:c>
      <x:c r="I140" s="95" t="n">
        <x:v>0.00019966070390225348</x:v>
      </x:c>
      <x:c r="J140" s="95" t="n">
        <x:v>3.526428387440534e-16</x:v>
      </x:c>
      <x:c r="K140" s="95" t="n">
        <x:v>566183917454.1307</x:v>
      </x:c>
      <x:c r="L140" s="95" t="n">
        <x:v>707155385301729.8</x:v>
      </x:c>
      <x:c r="M140" s="95" t="n">
        <x:v>24.514427708103387</x:v>
      </x:c>
      <x:c r="N140" s="95" t="n">
        <x:v>567884434731165060</x:v>
      </x:c>
      <x:c r="O140" s="95" t="n">
        <x:v>14.895556998904377</x:v>
      </x:c>
      <x:c r="P140" s="93"/>
      <x:c r="Q140" s="95"/>
      <x:c r="R140" s="95"/>
      <x:c r="S140" s="97" t="n">
        <x:v>1</x:v>
      </x:c>
      <x:c r="T140" s="93" t="n">
        <x:v>0.8766000000000024</x:v>
      </x:c>
      <x:c r="U140" s="98" t="n">
        <x:v>87.55071549981868</x:v>
      </x:c>
      <x:c r="V140" s="95" t="n">
        <x:v>0.00018083073535117542</x:v>
      </x:c>
      <x:c r="W140" s="95" t="n">
        <x:v>3.474158500457058e-16</x:v>
      </x:c>
      <x:c r="X140" s="95" t="n">
        <x:v>520502260698.1963</x:v>
      </x:c>
      <x:c r="Y140" s="99" t="n">
        <x:f>IFERROR(IF(ISBLANK(INDEX('Long_TCAD'!$H$2:$H$176,MATCH(B140,'Long_TCAD'!$A$2:$A$176,0))),"",INDEX('Long_TCAD'!$H$2:$H$176,MATCH(B140,'Long_TCAD'!$A$2:$A$176,0))),"")</x:f>
        <x:v>0.878</x:v>
      </x:c>
      <x:c r="Z140" s="100" t="n">
        <x:f>IFERROR(IF(ISBLANK(INDEX('Long_TCAD'!$I$2:$I$176,MATCH(B140,'Long_TCAD'!$A$2:$A$176,0))),"",INDEX('Long_TCAD'!$I$2:$I$176,MATCH(B140,'Long_TCAD'!$A$2:$A$176,0))),"")</x:f>
        <x:v>87.019</x:v>
      </x:c>
      <x:c r="AA140" s="96" t="n">
        <x:f>IFERROR(IF(ISBLANK(INDEX('Long_TCAD'!$J$2:$J$176,MATCH(B140,'Long_TCAD'!$A$2:$A$176,0))),"",INDEX('Long_TCAD'!$J$2:$J$176,MATCH(B140,'Long_TCAD'!$A$2:$A$176,0))),"")</x:f>
        <x:v>0.0001797</x:v>
      </x:c>
      <x:c r="AB140" s="96" t="n">
        <x:f>IFERROR(IF(ISBLANK(INDEX('Long_TCAD'!$K$2:$K$176,MATCH(B140,'Long_TCAD'!$A$2:$A$176,0))),"",INDEX('Long_TCAD'!$K$2:$K$176,MATCH(B140,'Long_TCAD'!$A$2:$A$176,0))),"")</x:f>
        <x:v>3.362e-16</x:v>
      </x:c>
      <x:c r="AC140" s="95" t="n">
        <x:f>IF(OR(NOT(ISNUMBER(AA140)),NOT(ISNUMBER(AB140))),"",AA140/AB140)</x:f>
        <x:v>534503271861.9869</x:v>
      </x:c>
      <x:c r="AD140" s="93" t="n">
        <x:f>IF(NOT(ISNUMBER(Y140)),"",ABS(Y140-T140)*1000)</x:f>
        <x:v>1.3999999999976254</x:v>
      </x:c>
      <x:c r="AE140" s="93" t="n">
        <x:f>IF(NOT(ISNUMBER(Z140)),"",ABS(Z140-U140))</x:f>
        <x:v>0.5317154998186737</x:v>
      </x:c>
      <x:c r="AF140" s="93" t="n">
        <x:f>IF(NOT(ISNUMBER(AA140)),"",ABS(LOG10(AA140)-LOG10(V140)))</x:f>
        <x:v>0.0027241712591998812</x:v>
      </x:c>
      <x:c r="AG140" s="93" t="n">
        <x:f>IF(NOT(ISNUMBER(AB140)),"",ABS(LOG10(AB140)-LOG10(W140)))</x:f>
        <x:v>0.014251919142200364</x:v>
      </x:c>
      <x:c r="AH140" s="93" t="n">
        <x:f>IF(NOT(ISNUMBER(AC140)),"",ABS(LOG10(AC140)-LOG10(X140)))</x:f>
        <x:v>0.011527747882999151</x:v>
      </x:c>
      <x:c r="AI140" s="85" t="str">
        <x:f>IF(OR(NOT(ISNUMBER(Y140)),NOT(ISNUMBER(Z140)),NOT(ISNUMBER(AA140)),NOT(ISNUMBER(AB140))),"",IF(AND(Y140&gt;=0.3,Y140&lt;=1.2,Z140&lt;=200,AA140&gt;=1E-4,AB140&lt;=1E-6),"PASS","FAIL"))</x:f>
        <x:v>PASS</x:v>
      </x:c>
      <x:c r="AJ140" s="85" t="str"/>
    </x:row>
    <x:row r="141">
      <x:c r="A141" s="85" t="str">
        <x:v>L0720-40</x:v>
      </x:c>
      <x:c r="B141" s="85" t="str">
        <x:v>LR126</x:v>
      </x:c>
      <x:c r="C141" s="93" t="n">
        <x:v>0.72</x:v>
      </x:c>
      <x:c r="D141" s="93" t="str">
        <x:v>Practical</x:v>
      </x:c>
      <x:c r="E141" s="93" t="n">
        <x:v>1</x:v>
      </x:c>
      <x:c r="F141" s="94" t="n">
        <x:v>410007</x:v>
      </x:c>
      <x:c r="G141" s="93" t="n">
        <x:v>0.8629811314358983</x:v>
      </x:c>
      <x:c r="H141" s="93" t="n">
        <x:v>83.466</x:v>
      </x:c>
      <x:c r="I141" s="95" t="n">
        <x:v>0.00016314735087283587</x:v>
      </x:c>
      <x:c r="J141" s="95" t="n">
        <x:v>4.343635473419739e-16</x:v>
      </x:c>
      <x:c r="K141" s="95" t="n">
        <x:v>375600926622.85535</x:v>
      </x:c>
      <x:c r="L141" s="95" t="n">
        <x:v>53713477839422.625</x:v>
      </x:c>
      <x:c r="M141" s="95" t="n">
        <x:v>45.29466472181279</x:v>
      </x:c>
      <x:c r="N141" s="95" t="n">
        <x:v>5410572172057605</x:v>
      </x:c>
      <x:c r="O141" s="95" t="n">
        <x:v>24.895287880733203</x:v>
      </x:c>
      <x:c r="P141" s="93"/>
      <x:c r="Q141" s="95"/>
      <x:c r="R141" s="95"/>
      <x:c r="S141" s="97" t="n">
        <x:v>1</x:v>
      </x:c>
      <x:c r="T141" s="93" t="n">
        <x:v>0.8712366666666692</x:v>
      </x:c>
      <x:c r="U141" s="98" t="n">
        <x:v>86.13924018752557</x:v>
      </x:c>
      <x:c r="V141" s="95" t="n">
        <x:v>0.00016368465280002951</x:v>
      </x:c>
      <x:c r="W141" s="95" t="n">
        <x:v>4.3030719211472733e-16</x:v>
      </x:c>
      <x:c r="X141" s="95" t="n">
        <x:v>380390232372.3847</x:v>
      </x:c>
      <x:c r="Y141" s="99" t="n">
        <x:f>IFERROR(IF(ISBLANK(INDEX('Long_TCAD'!$H$2:$H$176,MATCH(B141,'Long_TCAD'!$A$2:$A$176,0))),"",INDEX('Long_TCAD'!$H$2:$H$176,MATCH(B141,'Long_TCAD'!$A$2:$A$176,0))),"")</x:f>
        <x:v>0.876</x:v>
      </x:c>
      <x:c r="Z141" s="100" t="n">
        <x:f>IFERROR(IF(ISBLANK(INDEX('Long_TCAD'!$I$2:$I$176,MATCH(B141,'Long_TCAD'!$A$2:$A$176,0))),"",INDEX('Long_TCAD'!$I$2:$I$176,MATCH(B141,'Long_TCAD'!$A$2:$A$176,0))),"")</x:f>
        <x:v>86.285</x:v>
      </x:c>
      <x:c r="AA141" s="96" t="n">
        <x:f>IFERROR(IF(ISBLANK(INDEX('Long_TCAD'!$J$2:$J$176,MATCH(B141,'Long_TCAD'!$A$2:$A$176,0))),"",INDEX('Long_TCAD'!$J$2:$J$176,MATCH(B141,'Long_TCAD'!$A$2:$A$176,0))),"")</x:f>
        <x:v>0.0001725</x:v>
      </x:c>
      <x:c r="AB141" s="96" t="n">
        <x:f>IFERROR(IF(ISBLANK(INDEX('Long_TCAD'!$K$2:$K$176,MATCH(B141,'Long_TCAD'!$A$2:$A$176,0))),"",INDEX('Long_TCAD'!$K$2:$K$176,MATCH(B141,'Long_TCAD'!$A$2:$A$176,0))),"")</x:f>
        <x:v>3.715e-16</x:v>
      </x:c>
      <x:c r="AC141" s="95" t="n">
        <x:f>IF(OR(NOT(ISNUMBER(AA141)),NOT(ISNUMBER(AB141))),"",AA141/AB141)</x:f>
        <x:v>464333781965.00665</x:v>
      </x:c>
      <x:c r="AD141" s="93" t="n">
        <x:f>IF(NOT(ISNUMBER(Y141)),"",ABS(Y141-T141)*1000)</x:f>
        <x:v>4.763333333330788</x:v>
      </x:c>
      <x:c r="AE141" s="93" t="n">
        <x:f>IF(NOT(ISNUMBER(Z141)),"",ABS(Z141-U141))</x:f>
        <x:v>0.1457598124744237</x:v>
      </x:c>
      <x:c r="AF141" s="93" t="n">
        <x:f>IF(NOT(ISNUMBER(AA141)),"",ABS(LOG10(AA141)-LOG10(V141)))</x:f>
        <x:v>0.02278113787588998</x:v>
      </x:c>
      <x:c r="AG141" s="93" t="n">
        <x:f>IF(NOT(ISNUMBER(AB141)),"",ABS(LOG10(AB141)-LOG10(W141)))</x:f>
        <x:v>0.0638197868044994</x:v>
      </x:c>
      <x:c r="AH141" s="93" t="n">
        <x:f>IF(NOT(ISNUMBER(AC141)),"",ABS(LOG10(AC141)-LOG10(X141)))</x:f>
        <x:v>0.08660092468040048</x:v>
      </x:c>
      <x:c r="AI141" s="85" t="str">
        <x:f>IF(OR(NOT(ISNUMBER(Y141)),NOT(ISNUMBER(Z141)),NOT(ISNUMBER(AA141)),NOT(ISNUMBER(AB141))),"",IF(AND(Y141&gt;=0.3,Y141&lt;=1.2,Z141&lt;=200,AA141&gt;=1E-4,AB141&lt;=1E-6),"PASS","FAIL"))</x:f>
        <x:v>PASS</x:v>
      </x:c>
      <x:c r="AJ141" s="85" t="str"/>
    </x:row>
    <x:row r="142">
      <x:c r="A142" s="85" t="str">
        <x:v>L0720-41</x:v>
      </x:c>
      <x:c r="B142" s="85" t="str">
        <x:v>LR119</x:v>
      </x:c>
      <x:c r="C142" s="93" t="n">
        <x:v>0.72</x:v>
      </x:c>
      <x:c r="D142" s="93" t="str">
        <x:v>Practical</x:v>
      </x:c>
      <x:c r="E142" s="93" t="n">
        <x:v>1</x:v>
      </x:c>
      <x:c r="F142" s="94" t="n">
        <x:v>392825</x:v>
      </x:c>
      <x:c r="G142" s="93" t="n">
        <x:v>0.8671032051108849</x:v>
      </x:c>
      <x:c r="H142" s="93" t="n">
        <x:v>86.76274121870992</x:v>
      </x:c>
      <x:c r="I142" s="95" t="n">
        <x:v>0.0002068</x:v>
      </x:c>
      <x:c r="J142" s="95" t="n">
        <x:v>3.3490773003566447e-16</x:v>
      </x:c>
      <x:c r="K142" s="95" t="n">
        <x:v>617483508003.765</x:v>
      </x:c>
      <x:c r="L142" s="95" t="n">
        <x:v>733156219846025.9</x:v>
      </x:c>
      <x:c r="M142" s="95" t="n">
        <x:v>20.22618611330147</x:v>
      </x:c>
      <x:c r="N142" s="95" t="n">
        <x:v>835372161846394400</x:v>
      </x:c>
      <x:c r="O142" s="95" t="n">
        <x:v>23.80798640634711</x:v>
      </x:c>
      <x:c r="P142" s="93"/>
      <x:c r="Q142" s="95"/>
      <x:c r="R142" s="95"/>
      <x:c r="S142" s="97" t="n">
        <x:v>0.9966666666666667</x:v>
      </x:c>
      <x:c r="T142" s="93" t="n">
        <x:v>0.8732133333333301</x:v>
      </x:c>
      <x:c r="U142" s="98" t="n">
        <x:v>87.06368426542149</x:v>
      </x:c>
      <x:c r="V142" s="95" t="n">
        <x:v>0.00018434107069041286</x:v>
      </x:c>
      <x:c r="W142" s="95" t="n">
        <x:v>3.386243213537053e-16</x:v>
      </x:c>
      <x:c r="X142" s="95" t="n">
        <x:v>544382252147.3937</x:v>
      </x:c>
      <x:c r="Y142" s="99" t="n">
        <x:f>IFERROR(IF(ISBLANK(INDEX('Long_TCAD'!$H$2:$H$176,MATCH(B142,'Long_TCAD'!$A$2:$A$176,0))),"",INDEX('Long_TCAD'!$H$2:$H$176,MATCH(B142,'Long_TCAD'!$A$2:$A$176,0))),"")</x:f>
        <x:v>0.871</x:v>
      </x:c>
      <x:c r="Z142" s="100" t="n">
        <x:f>IFERROR(IF(ISBLANK(INDEX('Long_TCAD'!$I$2:$I$176,MATCH(B142,'Long_TCAD'!$A$2:$A$176,0))),"",INDEX('Long_TCAD'!$I$2:$I$176,MATCH(B142,'Long_TCAD'!$A$2:$A$176,0))),"")</x:f>
        <x:v>85.752</x:v>
      </x:c>
      <x:c r="AA142" s="96" t="n">
        <x:f>IFERROR(IF(ISBLANK(INDEX('Long_TCAD'!$J$2:$J$176,MATCH(B142,'Long_TCAD'!$A$2:$A$176,0))),"",INDEX('Long_TCAD'!$J$2:$J$176,MATCH(B142,'Long_TCAD'!$A$2:$A$176,0))),"")</x:f>
        <x:v>0.0001861</x:v>
      </x:c>
      <x:c r="AB142" s="96" t="n">
        <x:f>IFERROR(IF(ISBLANK(INDEX('Long_TCAD'!$K$2:$K$176,MATCH(B142,'Long_TCAD'!$A$2:$A$176,0))),"",INDEX('Long_TCAD'!$K$2:$K$176,MATCH(B142,'Long_TCAD'!$A$2:$A$176,0))),"")</x:f>
        <x:v>3.72e-16</x:v>
      </x:c>
      <x:c r="AC142" s="95" t="n">
        <x:f>IF(OR(NOT(ISNUMBER(AA142)),NOT(ISNUMBER(AB142))),"",AA142/AB142)</x:f>
        <x:v>500268817204.3011</x:v>
      </x:c>
      <x:c r="AD142" s="93" t="n">
        <x:f>IF(NOT(ISNUMBER(Y142)),"",ABS(Y142-T142)*1000)</x:f>
        <x:v>2.2133333333300698</x:v>
      </x:c>
      <x:c r="AE142" s="93" t="n">
        <x:f>IF(NOT(ISNUMBER(Z142)),"",ABS(Z142-U142))</x:f>
        <x:v>1.3116842654214906</x:v>
      </x:c>
      <x:c r="AF142" s="93" t="n">
        <x:f>IF(NOT(ISNUMBER(AA142)),"",ABS(LOG10(AA142)-LOG10(V142)))</x:f>
        <x:v>0.00412426749891992</x:v>
      </x:c>
      <x:c r="AG142" s="93" t="n">
        <x:f>IF(NOT(ISNUMBER(AB142)),"",ABS(LOG10(AB142)-LOG10(W142)))</x:f>
        <x:v>0.040824792221300754</x:v>
      </x:c>
      <x:c r="AH142" s="93" t="n">
        <x:f>IF(NOT(ISNUMBER(AC142)),"",ABS(LOG10(AC142)-LOG10(X142)))</x:f>
        <x:v>0.03670052472229912</x:v>
      </x:c>
      <x:c r="AI142" s="85" t="str">
        <x:f>IF(OR(NOT(ISNUMBER(Y142)),NOT(ISNUMBER(Z142)),NOT(ISNUMBER(AA142)),NOT(ISNUMBER(AB142))),"",IF(AND(Y142&gt;=0.3,Y142&lt;=1.2,Z142&lt;=200,AA142&gt;=1E-4,AB142&lt;=1E-6),"PASS","FAIL"))</x:f>
        <x:v>PASS</x:v>
      </x:c>
      <x:c r="AJ142" s="85" t="str"/>
    </x:row>
    <x:row r="143">
      <x:c r="A143" s="85" t="str">
        <x:v>L0720-42</x:v>
      </x:c>
      <x:c r="B143" s="85" t="str">
        <x:v>LR127</x:v>
      </x:c>
      <x:c r="C143" s="93" t="n">
        <x:v>0.72</x:v>
      </x:c>
      <x:c r="D143" s="93" t="str">
        <x:v>Practical</x:v>
      </x:c>
      <x:c r="E143" s="93" t="n">
        <x:v>1</x:v>
      </x:c>
      <x:c r="F143" s="94" t="n">
        <x:v>405187</x:v>
      </x:c>
      <x:c r="G143" s="93" t="n">
        <x:v>0.8700068799041073</x:v>
      </x:c>
      <x:c r="H143" s="93" t="n">
        <x:v>85.710216955329</x:v>
      </x:c>
      <x:c r="I143" s="95" t="n">
        <x:v>0.0001922422939705003</x:v>
      </x:c>
      <x:c r="J143" s="95" t="n">
        <x:v>4.74569169082932e-16</x:v>
      </x:c>
      <x:c r="K143" s="95" t="n">
        <x:v>405088038782.61536</x:v>
      </x:c>
      <x:c r="L143" s="95" t="n">
        <x:v>556503168722844.7</x:v>
      </x:c>
      <x:c r="M143" s="95" t="n">
        <x:v>24.06165775843341</x:v>
      </x:c>
      <x:c r="N143" s="95" t="n">
        <x:v>165348978418491870</x:v>
      </x:c>
      <x:c r="O143" s="95" t="n">
        <x:v>26.282003016669137</x:v>
      </x:c>
      <x:c r="P143" s="93"/>
      <x:c r="Q143" s="95"/>
      <x:c r="R143" s="95"/>
      <x:c r="S143" s="97" t="n">
        <x:v>1</x:v>
      </x:c>
      <x:c r="T143" s="93" t="n">
        <x:v>0.8596966666666699</x:v>
      </x:c>
      <x:c r="U143" s="98" t="n">
        <x:v>85.23863165755026</x:v>
      </x:c>
      <x:c r="V143" s="95" t="n">
        <x:v>0.00018561179858903778</x:v>
      </x:c>
      <x:c r="W143" s="95" t="n">
        <x:v>4.747338945800528e-16</x:v>
      </x:c>
      <x:c r="X143" s="95" t="n">
        <x:v>390980717214.702</x:v>
      </x:c>
      <x:c r="Y143" s="99" t="n">
        <x:f>IFERROR(IF(ISBLANK(INDEX('Long_TCAD'!$H$2:$H$176,MATCH(B143,'Long_TCAD'!$A$2:$A$176,0))),"",INDEX('Long_TCAD'!$H$2:$H$176,MATCH(B143,'Long_TCAD'!$A$2:$A$176,0))),"")</x:f>
        <x:v>0.873</x:v>
      </x:c>
      <x:c r="Z143" s="100" t="n">
        <x:f>IFERROR(IF(ISBLANK(INDEX('Long_TCAD'!$I$2:$I$176,MATCH(B143,'Long_TCAD'!$A$2:$A$176,0))),"",INDEX('Long_TCAD'!$I$2:$I$176,MATCH(B143,'Long_TCAD'!$A$2:$A$176,0))),"")</x:f>
        <x:v>86.621</x:v>
      </x:c>
      <x:c r="AA143" s="96" t="n">
        <x:f>IFERROR(IF(ISBLANK(INDEX('Long_TCAD'!$J$2:$J$176,MATCH(B143,'Long_TCAD'!$A$2:$A$176,0))),"",INDEX('Long_TCAD'!$J$2:$J$176,MATCH(B143,'Long_TCAD'!$A$2:$A$176,0))),"")</x:f>
        <x:v>0.0001834</x:v>
      </x:c>
      <x:c r="AB143" s="96" t="n">
        <x:f>IFERROR(IF(ISBLANK(INDEX('Long_TCAD'!$K$2:$K$176,MATCH(B143,'Long_TCAD'!$A$2:$A$176,0))),"",INDEX('Long_TCAD'!$K$2:$K$176,MATCH(B143,'Long_TCAD'!$A$2:$A$176,0))),"")</x:f>
        <x:v>5.435e-16</x:v>
      </x:c>
      <x:c r="AC143" s="95" t="n">
        <x:f>IF(OR(NOT(ISNUMBER(AA143)),NOT(ISNUMBER(AB143))),"",AA143/AB143)</x:f>
        <x:v>337442502299.9081</x:v>
      </x:c>
      <x:c r="AD143" s="93" t="n">
        <x:f>IF(NOT(ISNUMBER(Y143)),"",ABS(Y143-T143)*1000)</x:f>
        <x:v>13.303333333330114</x:v>
      </x:c>
      <x:c r="AE143" s="93" t="n">
        <x:f>IF(NOT(ISNUMBER(Z143)),"",ABS(Z143-U143))</x:f>
        <x:v>1.3823683424497375</x:v>
      </x:c>
      <x:c r="AF143" s="93" t="n">
        <x:f>IF(NOT(ISNUMBER(AA143)),"",ABS(LOG10(AA143)-LOG10(V143)))</x:f>
        <x:v>0.005206247764640182</x:v>
      </x:c>
      <x:c r="AG143" s="93" t="n">
        <x:f>IF(NOT(ISNUMBER(AB143)),"",ABS(LOG10(AB143)-LOG10(W143)))</x:f>
        <x:v>0.05874930826999858</x:v>
      </x:c>
      <x:c r="AH143" s="93" t="n">
        <x:f>IF(NOT(ISNUMBER(AC143)),"",ABS(LOG10(AC143)-LOG10(X143)))</x:f>
        <x:v>0.06395555603469916</x:v>
      </x:c>
      <x:c r="AI143" s="85" t="str">
        <x:f>IF(OR(NOT(ISNUMBER(Y143)),NOT(ISNUMBER(Z143)),NOT(ISNUMBER(AA143)),NOT(ISNUMBER(AB143))),"",IF(AND(Y143&gt;=0.3,Y143&lt;=1.2,Z143&lt;=200,AA143&gt;=1E-4,AB143&lt;=1E-6),"PASS","FAIL"))</x:f>
        <x:v>PASS</x:v>
      </x:c>
      <x:c r="AJ143" s="85" t="str"/>
    </x:row>
    <x:row r="144">
      <x:c r="A144" s="85" t="str">
        <x:v>L0720-43</x:v>
      </x:c>
      <x:c r="B144" s="85" t="str">
        <x:v>LR128</x:v>
      </x:c>
      <x:c r="C144" s="93" t="n">
        <x:v>0.72</x:v>
      </x:c>
      <x:c r="D144" s="93" t="str">
        <x:v>Practical</x:v>
      </x:c>
      <x:c r="E144" s="93" t="n">
        <x:v>1</x:v>
      </x:c>
      <x:c r="F144" s="94" t="n">
        <x:v>394979</x:v>
      </x:c>
      <x:c r="G144" s="93" t="n">
        <x:v>0.8740392663496593</x:v>
      </x:c>
      <x:c r="H144" s="93" t="n">
        <x:v>90.79633557941555</x:v>
      </x:c>
      <x:c r="I144" s="95" t="n">
        <x:v>0.0001342676038250278</x:v>
      </x:c>
      <x:c r="J144" s="95" t="n">
        <x:v>2.934e-16</x:v>
      </x:c>
      <x:c r="K144" s="95" t="n">
        <x:v>457626461571.32855</x:v>
      </x:c>
      <x:c r="L144" s="95" t="n">
        <x:v>177279737938.27484</x:v>
      </x:c>
      <x:c r="M144" s="95" t="n">
        <x:v>50.59655246302423</x:v>
      </x:c>
      <x:c r="N144" s="95" t="n">
        <x:v>21371173899596220</x:v>
      </x:c>
      <x:c r="O144" s="95" t="n">
        <x:v>12.841025419912725</x:v>
      </x:c>
      <x:c r="P144" s="93"/>
      <x:c r="Q144" s="95"/>
      <x:c r="R144" s="95"/>
      <x:c r="S144" s="97" t="n">
        <x:v>1</x:v>
      </x:c>
      <x:c r="T144" s="93" t="n">
        <x:v>0.8769100000000032</x:v>
      </x:c>
      <x:c r="U144" s="98" t="n">
        <x:v>86.27146213870203</x:v>
      </x:c>
      <x:c r="V144" s="95" t="n">
        <x:v>0.0001471773295773008</x:v>
      </x:c>
      <x:c r="W144" s="95" t="n">
        <x:v>2.92388498950875e-16</x:v>
      </x:c>
      <x:c r="X144" s="95" t="n">
        <x:v>503362239299.3935</x:v>
      </x:c>
      <x:c r="Y144" s="99" t="n">
        <x:f>IFERROR(IF(ISBLANK(INDEX('Long_TCAD'!$H$2:$H$176,MATCH(B144,'Long_TCAD'!$A$2:$A$176,0))),"",INDEX('Long_TCAD'!$H$2:$H$176,MATCH(B144,'Long_TCAD'!$A$2:$A$176,0))),"")</x:f>
        <x:v>0.88</x:v>
      </x:c>
      <x:c r="Z144" s="100" t="n">
        <x:f>IFERROR(IF(ISBLANK(INDEX('Long_TCAD'!$I$2:$I$176,MATCH(B144,'Long_TCAD'!$A$2:$A$176,0))),"",INDEX('Long_TCAD'!$I$2:$I$176,MATCH(B144,'Long_TCAD'!$A$2:$A$176,0))),"")</x:f>
        <x:v>86.114</x:v>
      </x:c>
      <x:c r="AA144" s="96" t="n">
        <x:f>IFERROR(IF(ISBLANK(INDEX('Long_TCAD'!$J$2:$J$176,MATCH(B144,'Long_TCAD'!$A$2:$A$176,0))),"",INDEX('Long_TCAD'!$J$2:$J$176,MATCH(B144,'Long_TCAD'!$A$2:$A$176,0))),"")</x:f>
        <x:v>0.0001578</x:v>
      </x:c>
      <x:c r="AB144" s="96" t="n">
        <x:f>IFERROR(IF(ISBLANK(INDEX('Long_TCAD'!$K$2:$K$176,MATCH(B144,'Long_TCAD'!$A$2:$A$176,0))),"",INDEX('Long_TCAD'!$K$2:$K$176,MATCH(B144,'Long_TCAD'!$A$2:$A$176,0))),"")</x:f>
        <x:v>2.726e-16</x:v>
      </x:c>
      <x:c r="AC144" s="95" t="n">
        <x:f>IF(OR(NOT(ISNUMBER(AA144)),NOT(ISNUMBER(AB144))),"",AA144/AB144)</x:f>
        <x:v>578870139398.3859</x:v>
      </x:c>
      <x:c r="AD144" s="93" t="n">
        <x:f>IF(NOT(ISNUMBER(Y144)),"",ABS(Y144-T144)*1000)</x:f>
        <x:v>3.0899999999968175</x:v>
      </x:c>
      <x:c r="AE144" s="93" t="n">
        <x:f>IF(NOT(ISNUMBER(Z144)),"",ABS(Z144-U144))</x:f>
        <x:v>0.15746213870203007</x:v>
      </x:c>
      <x:c r="AF144" s="93" t="n">
        <x:f>IF(NOT(ISNUMBER(AA144)),"",ABS(LOG10(AA144)-LOG10(V144)))</x:f>
        <x:v>0.0302660801608301</x:v>
      </x:c>
      <x:c r="AG144" s="93" t="n">
        <x:f>IF(NOT(ISNUMBER(AB144)),"",ABS(LOG10(AB144)-LOG10(W144)))</x:f>
        <x:v>0.03043443422760106</x:v>
      </x:c>
      <x:c r="AH144" s="93" t="n">
        <x:f>IF(NOT(ISNUMBER(AC144)),"",ABS(LOG10(AC144)-LOG10(X144)))</x:f>
        <x:v>0.060700514388399185</x:v>
      </x:c>
      <x:c r="AI144" s="85" t="str">
        <x:f>IF(OR(NOT(ISNUMBER(Y144)),NOT(ISNUMBER(Z144)),NOT(ISNUMBER(AA144)),NOT(ISNUMBER(AB144))),"",IF(AND(Y144&gt;=0.3,Y144&lt;=1.2,Z144&lt;=200,AA144&gt;=1E-4,AB144&lt;=1E-6),"PASS","FAIL"))</x:f>
        <x:v>PASS</x:v>
      </x:c>
      <x:c r="AJ144" s="85" t="str"/>
    </x:row>
    <x:row r="145">
      <x:c r="A145" s="85" t="str">
        <x:v>L0720-44</x:v>
      </x:c>
      <x:c r="B145" s="85" t="str">
        <x:v>LR129</x:v>
      </x:c>
      <x:c r="C145" s="93" t="n">
        <x:v>0.72</x:v>
      </x:c>
      <x:c r="D145" s="93" t="str">
        <x:v>Practical</x:v>
      </x:c>
      <x:c r="E145" s="93" t="n">
        <x:v>1</x:v>
      </x:c>
      <x:c r="F145" s="94" t="n">
        <x:v>405365</x:v>
      </x:c>
      <x:c r="G145" s="93" t="n">
        <x:v>0.8694089852661903</x:v>
      </x:c>
      <x:c r="H145" s="93" t="n">
        <x:v>87.19276941818333</x:v>
      </x:c>
      <x:c r="I145" s="95" t="n">
        <x:v>0.00018452057422033242</x:v>
      </x:c>
      <x:c r="J145" s="95" t="n">
        <x:v>5.150811288116046e-16</x:v>
      </x:c>
      <x:c r="K145" s="95" t="n">
        <x:v>358235943619.3253</x:v>
      </x:c>
      <x:c r="L145" s="95" t="n">
        <x:v>131108004677424.62</x:v>
      </x:c>
      <x:c r="M145" s="95" t="n">
        <x:v>25.05841300545519</x:v>
      </x:c>
      <x:c r="N145" s="95" t="n">
        <x:v>180041645154294200</x:v>
      </x:c>
      <x:c r="O145" s="95" t="n">
        <x:v>30.47133262884564</x:v>
      </x:c>
      <x:c r="P145" s="93"/>
      <x:c r="Q145" s="95"/>
      <x:c r="R145" s="95"/>
      <x:c r="S145" s="97" t="n">
        <x:v>1</x:v>
      </x:c>
      <x:c r="T145" s="93" t="n">
        <x:v>0.8600033333333386</x:v>
      </x:c>
      <x:c r="U145" s="98" t="n">
        <x:v>85.29268387709777</x:v>
      </x:c>
      <x:c r="V145" s="95" t="n">
        <x:v>0.00018422658628495297</x:v>
      </x:c>
      <x:c r="W145" s="95" t="n">
        <x:v>5.135509007457236e-16</x:v>
      </x:c>
      <x:c r="X145" s="95" t="n">
        <x:v>358730918429.7776</x:v>
      </x:c>
      <x:c r="Y145" s="99" t="n">
        <x:f>IFERROR(IF(ISBLANK(INDEX('Long_TCAD'!$H$2:$H$176,MATCH(B145,'Long_TCAD'!$A$2:$A$176,0))),"",INDEX('Long_TCAD'!$H$2:$H$176,MATCH(B145,'Long_TCAD'!$A$2:$A$176,0))),"")</x:f>
        <x:v>0.836</x:v>
      </x:c>
      <x:c r="Z145" s="100" t="n">
        <x:f>IFERROR(IF(ISBLANK(INDEX('Long_TCAD'!$I$2:$I$176,MATCH(B145,'Long_TCAD'!$A$2:$A$176,0))),"",INDEX('Long_TCAD'!$I$2:$I$176,MATCH(B145,'Long_TCAD'!$A$2:$A$176,0))),"")</x:f>
        <x:v>84.44</x:v>
      </x:c>
      <x:c r="AA145" s="96" t="n">
        <x:f>IFERROR(IF(ISBLANK(INDEX('Long_TCAD'!$J$2:$J$176,MATCH(B145,'Long_TCAD'!$A$2:$A$176,0))),"",INDEX('Long_TCAD'!$J$2:$J$176,MATCH(B145,'Long_TCAD'!$A$2:$A$176,0))),"")</x:f>
        <x:v>0.0001882</x:v>
      </x:c>
      <x:c r="AB145" s="96" t="n">
        <x:f>IFERROR(IF(ISBLANK(INDEX('Long_TCAD'!$K$2:$K$176,MATCH(B145,'Long_TCAD'!$A$2:$A$176,0))),"",INDEX('Long_TCAD'!$K$2:$K$176,MATCH(B145,'Long_TCAD'!$A$2:$A$176,0))),"")</x:f>
        <x:v>4.92e-16</x:v>
      </x:c>
      <x:c r="AC145" s="95" t="n">
        <x:f>IF(OR(NOT(ISNUMBER(AA145)),NOT(ISNUMBER(AB145))),"",AA145/AB145)</x:f>
        <x:v>382520325203.252</x:v>
      </x:c>
      <x:c r="AD145" s="93" t="n">
        <x:f>IF(NOT(ISNUMBER(Y145)),"",ABS(Y145-T145)*1000)</x:f>
        <x:v>24.003333333338595</x:v>
      </x:c>
      <x:c r="AE145" s="93" t="n">
        <x:f>IF(NOT(ISNUMBER(Z145)),"",ABS(Z145-U145))</x:f>
        <x:v>0.8526838770977747</x:v>
      </x:c>
      <x:c r="AF145" s="93" t="n">
        <x:f>IF(NOT(ISNUMBER(AA145)),"",ABS(LOG10(AA145)-LOG10(V145)))</x:f>
        <x:v>0.009267314383119896</x:v>
      </x:c>
      <x:c r="AG145" s="93" t="n">
        <x:f>IF(NOT(ISNUMBER(AB145)),"",ABS(LOG10(AB145)-LOG10(W145)))</x:f>
        <x:v>0.018618392522199656</x:v>
      </x:c>
      <x:c r="AH145" s="93" t="n">
        <x:f>IF(NOT(ISNUMBER(AC145)),"",ABS(LOG10(AC145)-LOG10(X145)))</x:f>
        <x:v>0.02788570690530001</x:v>
      </x:c>
      <x:c r="AI145" s="85" t="str">
        <x:f>IF(OR(NOT(ISNUMBER(Y145)),NOT(ISNUMBER(Z145)),NOT(ISNUMBER(AA145)),NOT(ISNUMBER(AB145))),"",IF(AND(Y145&gt;=0.3,Y145&lt;=1.2,Z145&lt;=200,AA145&gt;=1E-4,AB145&lt;=1E-6),"PASS","FAIL"))</x:f>
        <x:v>PASS</x:v>
      </x:c>
      <x:c r="AJ145" s="85" t="str"/>
    </x:row>
    <x:row r="146">
      <x:c r="A146" s="85" t="str">
        <x:v>L0720-45</x:v>
      </x:c>
      <x:c r="B146" s="85" t="str">
        <x:v>LR130</x:v>
      </x:c>
      <x:c r="C146" s="93" t="n">
        <x:v>0.72</x:v>
      </x:c>
      <x:c r="D146" s="93" t="str">
        <x:v>Practical</x:v>
      </x:c>
      <x:c r="E146" s="93" t="n">
        <x:v>1</x:v>
      </x:c>
      <x:c r="F146" s="94" t="n">
        <x:v>400581</x:v>
      </x:c>
      <x:c r="G146" s="93" t="n">
        <x:v>0.8822284004326265</x:v>
      </x:c>
      <x:c r="H146" s="93" t="n">
        <x:v>85.42619235698865</x:v>
      </x:c>
      <x:c r="I146" s="95" t="n">
        <x:v>0.0001841059181322618</x:v>
      </x:c>
      <x:c r="J146" s="95" t="n">
        <x:v>3.6121385843591523e-16</x:v>
      </x:c>
      <x:c r="K146" s="95" t="n">
        <x:v>509686751581.05804</x:v>
      </x:c>
      <x:c r="L146" s="95" t="n">
        <x:v>998925505462194.9</x:v>
      </x:c>
      <x:c r="M146" s="95" t="n">
        <x:v>59.818678472681896</x:v>
      </x:c>
      <x:c r="N146" s="95" t="n">
        <x:v>551108295302115500</x:v>
      </x:c>
      <x:c r="O146" s="95" t="n">
        <x:v>16.96445914114078</x:v>
      </x:c>
      <x:c r="P146" s="93"/>
      <x:c r="Q146" s="95"/>
      <x:c r="R146" s="95"/>
      <x:c r="S146" s="97" t="n">
        <x:v>1</x:v>
      </x:c>
      <x:c r="T146" s="93" t="n">
        <x:v>0.8750500000000005</x:v>
      </x:c>
      <x:c r="U146" s="98" t="n">
        <x:v>85.98609561870536</x:v>
      </x:c>
      <x:c r="V146" s="95" t="n">
        <x:v>0.0001834573357113031</x:v>
      </x:c>
      <x:c r="W146" s="95" t="n">
        <x:v>3.663843674176618e-16</x:v>
      </x:c>
      <x:c r="X146" s="95" t="n">
        <x:v>500723699005.8856</x:v>
      </x:c>
      <x:c r="Y146" s="99" t="n">
        <x:f>IFERROR(IF(ISBLANK(INDEX('Long_TCAD'!$H$2:$H$176,MATCH(B146,'Long_TCAD'!$A$2:$A$176,0))),"",INDEX('Long_TCAD'!$H$2:$H$176,MATCH(B146,'Long_TCAD'!$A$2:$A$176,0))),"")</x:f>
        <x:v>0.863</x:v>
      </x:c>
      <x:c r="Z146" s="100" t="n">
        <x:f>IFERROR(IF(ISBLANK(INDEX('Long_TCAD'!$I$2:$I$176,MATCH(B146,'Long_TCAD'!$A$2:$A$176,0))),"",INDEX('Long_TCAD'!$I$2:$I$176,MATCH(B146,'Long_TCAD'!$A$2:$A$176,0))),"")</x:f>
        <x:v>84.951</x:v>
      </x:c>
      <x:c r="AA146" s="96" t="n">
        <x:f>IFERROR(IF(ISBLANK(INDEX('Long_TCAD'!$J$2:$J$176,MATCH(B146,'Long_TCAD'!$A$2:$A$176,0))),"",INDEX('Long_TCAD'!$J$2:$J$176,MATCH(B146,'Long_TCAD'!$A$2:$A$176,0))),"")</x:f>
        <x:v>0.0001842</x:v>
      </x:c>
      <x:c r="AB146" s="96" t="n">
        <x:f>IFERROR(IF(ISBLANK(INDEX('Long_TCAD'!$K$2:$K$176,MATCH(B146,'Long_TCAD'!$A$2:$A$176,0))),"",INDEX('Long_TCAD'!$K$2:$K$176,MATCH(B146,'Long_TCAD'!$A$2:$A$176,0))),"")</x:f>
        <x:v>4.568e-16</x:v>
      </x:c>
      <x:c r="AC146" s="95" t="n">
        <x:f>IF(OR(NOT(ISNUMBER(AA146)),NOT(ISNUMBER(AB146))),"",AA146/AB146)</x:f>
        <x:v>403239929947.4606</x:v>
      </x:c>
      <x:c r="AD146" s="93" t="n">
        <x:f>IF(NOT(ISNUMBER(Y146)),"",ABS(Y146-T146)*1000)</x:f>
        <x:v>12.05000000000056</x:v>
      </x:c>
      <x:c r="AE146" s="93" t="n">
        <x:f>IF(NOT(ISNUMBER(Z146)),"",ABS(Z146-U146))</x:f>
        <x:v>1.0350956187053697</x:v>
      </x:c>
      <x:c r="AF146" s="93" t="n">
        <x:f>IF(NOT(ISNUMBER(AA146)),"",ABS(LOG10(AA146)-LOG10(V146)))</x:f>
        <x:v>0.0017545437549899567</x:v>
      </x:c>
      <x:c r="AG146" s="93" t="n">
        <x:f>IF(NOT(ISNUMBER(AB146)),"",ABS(LOG10(AB146)-LOG10(W146)))</x:f>
        <x:v>0.09578915996110027</x:v>
      </x:c>
      <x:c r="AH146" s="93" t="n">
        <x:f>IF(NOT(ISNUMBER(AC146)),"",ABS(LOG10(AC146)-LOG10(X146)))</x:f>
        <x:v>0.0940346162061001</x:v>
      </x:c>
      <x:c r="AI146" s="85" t="str">
        <x:f>IF(OR(NOT(ISNUMBER(Y146)),NOT(ISNUMBER(Z146)),NOT(ISNUMBER(AA146)),NOT(ISNUMBER(AB146))),"",IF(AND(Y146&gt;=0.3,Y146&lt;=1.2,Z146&lt;=200,AA146&gt;=1E-4,AB146&lt;=1E-6),"PASS","FAIL"))</x:f>
        <x:v>PASS</x:v>
      </x:c>
      <x:c r="AJ146" s="85" t="str"/>
    </x:row>
    <x:row r="147">
      <x:c r="A147" s="85" t="str">
        <x:v>L0720-46</x:v>
      </x:c>
      <x:c r="B147" s="85" t="str">
        <x:v>LR131</x:v>
      </x:c>
      <x:c r="C147" s="93" t="n">
        <x:v>0.72</x:v>
      </x:c>
      <x:c r="D147" s="93" t="str">
        <x:v>Practical</x:v>
      </x:c>
      <x:c r="E147" s="93" t="n">
        <x:v>1</x:v>
      </x:c>
      <x:c r="F147" s="94" t="n">
        <x:v>393556</x:v>
      </x:c>
      <x:c r="G147" s="93" t="n">
        <x:v>0.8742884304534289</x:v>
      </x:c>
      <x:c r="H147" s="93" t="n">
        <x:v>90.57574658124175</x:v>
      </x:c>
      <x:c r="I147" s="95" t="n">
        <x:v>0.00015552633524833136</x:v>
      </x:c>
      <x:c r="J147" s="95" t="n">
        <x:v>2.9437793678178735e-16</x:v>
      </x:c>
      <x:c r="K147" s="95" t="n">
        <x:v>528321982783.7095</x:v>
      </x:c>
      <x:c r="L147" s="95" t="n">
        <x:v>4068787600766.8545</x:v>
      </x:c>
      <x:c r="M147" s="95" t="n">
        <x:v>40.44005760208587</x:v>
      </x:c>
      <x:c r="N147" s="95" t="n">
        <x:v>53852546698705410</x:v>
      </x:c>
      <x:c r="O147" s="95" t="n">
        <x:v>17.271790726150204</x:v>
      </x:c>
      <x:c r="P147" s="93"/>
      <x:c r="Q147" s="95"/>
      <x:c r="R147" s="95"/>
      <x:c r="S147" s="97" t="n">
        <x:v>1</x:v>
      </x:c>
      <x:c r="T147" s="93" t="n">
        <x:v>0.8771799999999962</x:v>
      </x:c>
      <x:c r="U147" s="98" t="n">
        <x:v>86.24316854364064</x:v>
      </x:c>
      <x:c r="V147" s="95" t="n">
        <x:v>0.00015185022029892337</x:v>
      </x:c>
      <x:c r="W147" s="95" t="n">
        <x:v>3.000629099906366e-16</x:v>
      </x:c>
      <x:c r="X147" s="95" t="n">
        <x:v>506061279961.79803</x:v>
      </x:c>
      <x:c r="Y147" s="99" t="n">
        <x:f>IFERROR(IF(ISBLANK(INDEX('Long_TCAD'!$H$2:$H$176,MATCH(B147,'Long_TCAD'!$A$2:$A$176,0))),"",INDEX('Long_TCAD'!$H$2:$H$176,MATCH(B147,'Long_TCAD'!$A$2:$A$176,0))),"")</x:f>
        <x:v>0.876</x:v>
      </x:c>
      <x:c r="Z147" s="100" t="n">
        <x:f>IFERROR(IF(ISBLANK(INDEX('Long_TCAD'!$I$2:$I$176,MATCH(B147,'Long_TCAD'!$A$2:$A$176,0))),"",INDEX('Long_TCAD'!$I$2:$I$176,MATCH(B147,'Long_TCAD'!$A$2:$A$176,0))),"")</x:f>
        <x:v>85.964</x:v>
      </x:c>
      <x:c r="AA147" s="96" t="n">
        <x:f>IFERROR(IF(ISBLANK(INDEX('Long_TCAD'!$J$2:$J$176,MATCH(B147,'Long_TCAD'!$A$2:$A$176,0))),"",INDEX('Long_TCAD'!$J$2:$J$176,MATCH(B147,'Long_TCAD'!$A$2:$A$176,0))),"")</x:f>
        <x:v>0.0001676</x:v>
      </x:c>
      <x:c r="AB147" s="96" t="n">
        <x:f>IFERROR(IF(ISBLANK(INDEX('Long_TCAD'!$K$2:$K$176,MATCH(B147,'Long_TCAD'!$A$2:$A$176,0))),"",INDEX('Long_TCAD'!$K$2:$K$176,MATCH(B147,'Long_TCAD'!$A$2:$A$176,0))),"")</x:f>
        <x:v>3.562e-16</x:v>
      </x:c>
      <x:c r="AC147" s="95" t="n">
        <x:f>IF(OR(NOT(ISNUMBER(AA147)),NOT(ISNUMBER(AB147))),"",AA147/AB147)</x:f>
        <x:v>470522178551.3757</x:v>
      </x:c>
      <x:c r="AD147" s="93" t="n">
        <x:f>IF(NOT(ISNUMBER(Y147)),"",ABS(Y147-T147)*1000)</x:f>
        <x:v>1.179999999996184</x:v>
      </x:c>
      <x:c r="AE147" s="93" t="n">
        <x:f>IF(NOT(ISNUMBER(Z147)),"",ABS(Z147-U147))</x:f>
        <x:v>0.2791685436406368</x:v>
      </x:c>
      <x:c r="AF147" s="93" t="n">
        <x:f>IF(NOT(ISNUMBER(AA147)),"",ABS(LOG10(AA147)-LOG10(V147)))</x:f>
        <x:v>0.04285858798045972</x:v>
      </x:c>
      <x:c r="AG147" s="93" t="n">
        <x:f>IF(NOT(ISNUMBER(AB147)),"",ABS(LOG10(AB147)-LOG10(W147)))</x:f>
        <x:v>0.07448159841579916</x:v>
      </x:c>
      <x:c r="AH147" s="93" t="n">
        <x:f>IF(NOT(ISNUMBER(AC147)),"",ABS(LOG10(AC147)-LOG10(X147)))</x:f>
        <x:v>0.03162301043530036</x:v>
      </x:c>
      <x:c r="AI147" s="85" t="str">
        <x:f>IF(OR(NOT(ISNUMBER(Y147)),NOT(ISNUMBER(Z147)),NOT(ISNUMBER(AA147)),NOT(ISNUMBER(AB147))),"",IF(AND(Y147&gt;=0.3,Y147&lt;=1.2,Z147&lt;=200,AA147&gt;=1E-4,AB147&lt;=1E-6),"PASS","FAIL"))</x:f>
        <x:v>PASS</x:v>
      </x:c>
      <x:c r="AJ147" s="85" t="str"/>
    </x:row>
    <x:row r="148">
      <x:c r="A148" s="85" t="str">
        <x:v>L0720-47</x:v>
      </x:c>
      <x:c r="B148" s="85" t="str">
        <x:v>LR132</x:v>
      </x:c>
      <x:c r="C148" s="93" t="n">
        <x:v>0.72</x:v>
      </x:c>
      <x:c r="D148" s="93" t="str">
        <x:v>Practical</x:v>
      </x:c>
      <x:c r="E148" s="93" t="n">
        <x:v>1</x:v>
      </x:c>
      <x:c r="F148" s="94" t="n">
        <x:v>403964</x:v>
      </x:c>
      <x:c r="G148" s="93" t="n">
        <x:v>0.874623718990645</x:v>
      </x:c>
      <x:c r="H148" s="93" t="n">
        <x:v>85.2211127245357</x:v>
      </x:c>
      <x:c r="I148" s="95" t="n">
        <x:v>0.00018090789433881333</x:v>
      </x:c>
      <x:c r="J148" s="95" t="n">
        <x:v>3.9482931560202815e-16</x:v>
      </x:c>
      <x:c r="K148" s="95" t="n">
        <x:v>458192659942.10297</x:v>
      </x:c>
      <x:c r="L148" s="95" t="n">
        <x:v>25838696368412.504</x:v>
      </x:c>
      <x:c r="M148" s="95" t="n">
        <x:v>65.40387965721007</x:v>
      </x:c>
      <x:c r="N148" s="95" t="n">
        <x:v>644040444489450600</x:v>
      </x:c>
      <x:c r="O148" s="95" t="n">
        <x:v>15.747230782563266</x:v>
      </x:c>
      <x:c r="P148" s="93"/>
      <x:c r="Q148" s="95"/>
      <x:c r="R148" s="95"/>
      <x:c r="S148" s="97" t="n">
        <x:v>1</x:v>
      </x:c>
      <x:c r="T148" s="93" t="n">
        <x:v>0.8703400000000031</x:v>
      </x:c>
      <x:c r="U148" s="98" t="n">
        <x:v>85.88078859596264</x:v>
      </x:c>
      <x:c r="V148" s="95" t="n">
        <x:v>0.00017974425682249222</x:v>
      </x:c>
      <x:c r="W148" s="95" t="n">
        <x:v>3.985476496230965e-16</x:v>
      </x:c>
      <x:c r="X148" s="95" t="n">
        <x:v>450998160426.9277</x:v>
      </x:c>
      <x:c r="Y148" s="99" t="n">
        <x:f>IFERROR(IF(ISBLANK(INDEX('Long_TCAD'!$H$2:$H$176,MATCH(B148,'Long_TCAD'!$A$2:$A$176,0))),"",INDEX('Long_TCAD'!$H$2:$H$176,MATCH(B148,'Long_TCAD'!$A$2:$A$176,0))),"")</x:f>
        <x:v>0.871</x:v>
      </x:c>
      <x:c r="Z148" s="100" t="n">
        <x:f>IFERROR(IF(ISBLANK(INDEX('Long_TCAD'!$I$2:$I$176,MATCH(B148,'Long_TCAD'!$A$2:$A$176,0))),"",INDEX('Long_TCAD'!$I$2:$I$176,MATCH(B148,'Long_TCAD'!$A$2:$A$176,0))),"")</x:f>
        <x:v>85.736</x:v>
      </x:c>
      <x:c r="AA148" s="96" t="n">
        <x:f>IFERROR(IF(ISBLANK(INDEX('Long_TCAD'!$J$2:$J$176,MATCH(B148,'Long_TCAD'!$A$2:$A$176,0))),"",INDEX('Long_TCAD'!$J$2:$J$176,MATCH(B148,'Long_TCAD'!$A$2:$A$176,0))),"")</x:f>
        <x:v>0.000178</x:v>
      </x:c>
      <x:c r="AB148" s="96" t="n">
        <x:f>IFERROR(IF(ISBLANK(INDEX('Long_TCAD'!$K$2:$K$176,MATCH(B148,'Long_TCAD'!$A$2:$A$176,0))),"",INDEX('Long_TCAD'!$K$2:$K$176,MATCH(B148,'Long_TCAD'!$A$2:$A$176,0))),"")</x:f>
        <x:v>3.834e-16</x:v>
      </x:c>
      <x:c r="AC148" s="95" t="n">
        <x:f>IF(OR(NOT(ISNUMBER(AA148)),NOT(ISNUMBER(AB148))),"",AA148/AB148)</x:f>
        <x:v>464267083985.39386</x:v>
      </x:c>
      <x:c r="AD148" s="93" t="n">
        <x:f>IF(NOT(ISNUMBER(Y148)),"",ABS(Y148-T148)*1000)</x:f>
        <x:v>0.6599999999968853</x:v>
      </x:c>
      <x:c r="AE148" s="93" t="n">
        <x:f>IF(NOT(ISNUMBER(Z148)),"",ABS(Z148-U148))</x:f>
        <x:v>0.1447885959626376</x:v>
      </x:c>
      <x:c r="AF148" s="93" t="n">
        <x:f>IF(NOT(ISNUMBER(AA148)),"",ABS(LOG10(AA148)-LOG10(V148)))</x:f>
        <x:v>0.004235020416980095</x:v>
      </x:c>
      <x:c r="AG148" s="93" t="n">
        <x:f>IF(NOT(ISNUMBER(AB148)),"",ABS(LOG10(AB148)-LOG10(W148)))</x:f>
        <x:v>0.016828143742900536</x:v>
      </x:c>
      <x:c r="AH148" s="93" t="n">
        <x:f>IF(NOT(ISNUMBER(AC148)),"",ABS(LOG10(AC148)-LOG10(X148)))</x:f>
        <x:v>0.012593123325800093</x:v>
      </x:c>
      <x:c r="AI148" s="85" t="str">
        <x:f>IF(OR(NOT(ISNUMBER(Y148)),NOT(ISNUMBER(Z148)),NOT(ISNUMBER(AA148)),NOT(ISNUMBER(AB148))),"",IF(AND(Y148&gt;=0.3,Y148&lt;=1.2,Z148&lt;=200,AA148&gt;=1E-4,AB148&lt;=1E-6),"PASS","FAIL"))</x:f>
        <x:v>PASS</x:v>
      </x:c>
      <x:c r="AJ148" s="85" t="str"/>
    </x:row>
    <x:row r="149">
      <x:c r="A149" s="85" t="str">
        <x:v>L0720-48</x:v>
      </x:c>
      <x:c r="B149" s="85" t="str">
        <x:v>LR133</x:v>
      </x:c>
      <x:c r="C149" s="93" t="n">
        <x:v>0.72</x:v>
      </x:c>
      <x:c r="D149" s="93" t="str">
        <x:v>Practical</x:v>
      </x:c>
      <x:c r="E149" s="93" t="n">
        <x:v>1</x:v>
      </x:c>
      <x:c r="F149" s="94" t="n">
        <x:v>409351</x:v>
      </x:c>
      <x:c r="G149" s="93" t="n">
        <x:v>0.8776196506713533</x:v>
      </x:c>
      <x:c r="H149" s="93" t="n">
        <x:v>89.36169492380571</x:v>
      </x:c>
      <x:c r="I149" s="95" t="n">
        <x:v>0.00016407966424081743</x:v>
      </x:c>
      <x:c r="J149" s="95" t="n">
        <x:v>3.8282373410048527e-16</x:v>
      </x:c>
      <x:c r="K149" s="95" t="n">
        <x:v>428603687873.0958</x:v>
      </x:c>
      <x:c r="L149" s="95" t="n">
        <x:v>101417449420963.55</x:v>
      </x:c>
      <x:c r="M149" s="95" t="n">
        <x:v>29.451063788805</x:v>
      </x:c>
      <x:c r="N149" s="95" t="n">
        <x:v>466844518579661.8</x:v>
      </x:c>
      <x:c r="O149" s="95" t="n">
        <x:v>16.669100582717693</x:v>
      </x:c>
      <x:c r="P149" s="93"/>
      <x:c r="Q149" s="95"/>
      <x:c r="R149" s="95"/>
      <x:c r="S149" s="97" t="n">
        <x:v>1</x:v>
      </x:c>
      <x:c r="T149" s="93" t="n">
        <x:v>0.8736033333333305</x:v>
      </x:c>
      <x:c r="U149" s="98" t="n">
        <x:v>86.16231797224071</x:v>
      </x:c>
      <x:c r="V149" s="95" t="n">
        <x:v>0.00016590419647613818</x:v>
      </x:c>
      <x:c r="W149" s="95" t="n">
        <x:v>3.853472923384461e-16</x:v>
      </x:c>
      <x:c r="X149" s="95" t="n">
        <x:v>430531626339.87427</x:v>
      </x:c>
      <x:c r="Y149" s="99" t="n">
        <x:f>IFERROR(IF(ISBLANK(INDEX('Long_TCAD'!$H$2:$H$176,MATCH(B149,'Long_TCAD'!$A$2:$A$176,0))),"",INDEX('Long_TCAD'!$H$2:$H$176,MATCH(B149,'Long_TCAD'!$A$2:$A$176,0))),"")</x:f>
        <x:v>0.875</x:v>
      </x:c>
      <x:c r="Z149" s="100" t="n">
        <x:f>IFERROR(IF(ISBLANK(INDEX('Long_TCAD'!$I$2:$I$176,MATCH(B149,'Long_TCAD'!$A$2:$A$176,0))),"",INDEX('Long_TCAD'!$I$2:$I$176,MATCH(B149,'Long_TCAD'!$A$2:$A$176,0))),"")</x:f>
        <x:v>86.105</x:v>
      </x:c>
      <x:c r="AA149" s="96" t="n">
        <x:f>IFERROR(IF(ISBLANK(INDEX('Long_TCAD'!$J$2:$J$176,MATCH(B149,'Long_TCAD'!$A$2:$A$176,0))),"",INDEX('Long_TCAD'!$J$2:$J$176,MATCH(B149,'Long_TCAD'!$A$2:$A$176,0))),"")</x:f>
        <x:v>0.0001696</x:v>
      </x:c>
      <x:c r="AB149" s="96" t="n">
        <x:f>IFERROR(IF(ISBLANK(INDEX('Long_TCAD'!$K$2:$K$176,MATCH(B149,'Long_TCAD'!$A$2:$A$176,0))),"",INDEX('Long_TCAD'!$K$2:$K$176,MATCH(B149,'Long_TCAD'!$A$2:$A$176,0))),"")</x:f>
        <x:v>3.677e-16</x:v>
      </x:c>
      <x:c r="AC149" s="95" t="n">
        <x:f>IF(OR(NOT(ISNUMBER(AA149)),NOT(ISNUMBER(AB149))),"",AA149/AB149)</x:f>
        <x:v>461245580636.38837</x:v>
      </x:c>
      <x:c r="AD149" s="93" t="n">
        <x:f>IF(NOT(ISNUMBER(Y149)),"",ABS(Y149-T149)*1000)</x:f>
        <x:v>1.3966666666694882</x:v>
      </x:c>
      <x:c r="AE149" s="93" t="n">
        <x:f>IF(NOT(ISNUMBER(Z149)),"",ABS(Z149-U149))</x:f>
        <x:v>0.057317972240710446</x:v>
      </x:c>
      <x:c r="AF149" s="93" t="n">
        <x:f>IF(NOT(ISNUMBER(AA149)),"",ABS(LOG10(AA149)-LOG10(V149)))</x:f>
        <x:v>0.009568476463059916</x:v>
      </x:c>
      <x:c r="AG149" s="93" t="n">
        <x:f>IF(NOT(ISNUMBER(AB149)),"",ABS(LOG10(AB149)-LOG10(W149)))</x:f>
        <x:v>0.020358681872499673</x:v>
      </x:c>
      <x:c r="AH149" s="93" t="n">
        <x:f>IF(NOT(ISNUMBER(AC149)),"",ABS(LOG10(AC149)-LOG10(X149)))</x:f>
        <x:v>0.02992715833550008</x:v>
      </x:c>
      <x:c r="AI149" s="85" t="str">
        <x:f>IF(OR(NOT(ISNUMBER(Y149)),NOT(ISNUMBER(Z149)),NOT(ISNUMBER(AA149)),NOT(ISNUMBER(AB149))),"",IF(AND(Y149&gt;=0.3,Y149&lt;=1.2,Z149&lt;=200,AA149&gt;=1E-4,AB149&lt;=1E-6),"PASS","FAIL"))</x:f>
        <x:v>PASS</x:v>
      </x:c>
      <x:c r="AJ149" s="85" t="str"/>
    </x:row>
    <x:row r="150">
      <x:c r="A150" s="85" t="str">
        <x:v>L0720-49</x:v>
      </x:c>
      <x:c r="B150" s="85" t="str">
        <x:v>LR134</x:v>
      </x:c>
      <x:c r="C150" s="93" t="n">
        <x:v>0.72</x:v>
      </x:c>
      <x:c r="D150" s="93" t="str">
        <x:v>Practical</x:v>
      </x:c>
      <x:c r="E150" s="93" t="n">
        <x:v>1</x:v>
      </x:c>
      <x:c r="F150" s="94" t="n">
        <x:v>405761</x:v>
      </x:c>
      <x:c r="G150" s="93" t="n">
        <x:v>0.8796326563998226</x:v>
      </x:c>
      <x:c r="H150" s="93" t="n">
        <x:v>86.29885978225015</x:v>
      </x:c>
      <x:c r="I150" s="95" t="n">
        <x:v>0.00013531592321725593</x:v>
      </x:c>
      <x:c r="J150" s="95" t="n">
        <x:v>3.32799260681615e-16</x:v>
      </x:c>
      <x:c r="K150" s="95" t="n">
        <x:v>406599230239.0089</x:v>
      </x:c>
      <x:c r="L150" s="95" t="n">
        <x:v>1065429091588.9976</x:v>
      </x:c>
      <x:c r="M150" s="95" t="n">
        <x:v>34.790723421726405</x:v>
      </x:c>
      <x:c r="N150" s="95" t="n">
        <x:v>1528585915205887</x:v>
      </x:c>
      <x:c r="O150" s="95" t="n">
        <x:v>15.418827128333831</x:v>
      </x:c>
      <x:c r="P150" s="93"/>
      <x:c r="Q150" s="95"/>
      <x:c r="R150" s="95"/>
      <x:c r="S150" s="97" t="n">
        <x:v>1</x:v>
      </x:c>
      <x:c r="T150" s="93" t="n">
        <x:v>0.8722933333333369</x:v>
      </x:c>
      <x:c r="U150" s="98" t="n">
        <x:v>86.17295305665989</x:v>
      </x:c>
      <x:c r="V150" s="95" t="n">
        <x:v>0.00013559486722158426</x:v>
      </x:c>
      <x:c r="W150" s="95" t="n">
        <x:v>3.251914241635103e-16</x:v>
      </x:c>
      <x:c r="X150" s="95" t="n">
        <x:v>416969382173.5148</x:v>
      </x:c>
      <x:c r="Y150" s="99" t="n">
        <x:f>IFERROR(IF(ISBLANK(INDEX('Long_TCAD'!$H$2:$H$176,MATCH(B150,'Long_TCAD'!$A$2:$A$176,0))),"",INDEX('Long_TCAD'!$H$2:$H$176,MATCH(B150,'Long_TCAD'!$A$2:$A$176,0))),"")</x:f>
        <x:v>0.877</x:v>
      </x:c>
      <x:c r="Z150" s="100" t="n">
        <x:f>IFERROR(IF(ISBLANK(INDEX('Long_TCAD'!$I$2:$I$176,MATCH(B150,'Long_TCAD'!$A$2:$A$176,0))),"",INDEX('Long_TCAD'!$I$2:$I$176,MATCH(B150,'Long_TCAD'!$A$2:$A$176,0))),"")</x:f>
        <x:v>86.336</x:v>
      </x:c>
      <x:c r="AA150" s="96" t="n">
        <x:f>IFERROR(IF(ISBLANK(INDEX('Long_TCAD'!$J$2:$J$176,MATCH(B150,'Long_TCAD'!$A$2:$A$176,0))),"",INDEX('Long_TCAD'!$J$2:$J$176,MATCH(B150,'Long_TCAD'!$A$2:$A$176,0))),"")</x:f>
        <x:v>0.0001493</x:v>
      </x:c>
      <x:c r="AB150" s="96" t="n">
        <x:f>IFERROR(IF(ISBLANK(INDEX('Long_TCAD'!$K$2:$K$176,MATCH(B150,'Long_TCAD'!$A$2:$A$176,0))),"",INDEX('Long_TCAD'!$K$2:$K$176,MATCH(B150,'Long_TCAD'!$A$2:$A$176,0))),"")</x:f>
        <x:v>3.016e-16</x:v>
      </x:c>
      <x:c r="AC150" s="95" t="n">
        <x:f>IF(OR(NOT(ISNUMBER(AA150)),NOT(ISNUMBER(AB150))),"",AA150/AB150)</x:f>
        <x:v>495026525198.93896</x:v>
      </x:c>
      <x:c r="AD150" s="93" t="n">
        <x:f>IF(NOT(ISNUMBER(Y150)),"",ABS(Y150-T150)*1000)</x:f>
        <x:v>4.706666666663084</x:v>
      </x:c>
      <x:c r="AE150" s="93" t="n">
        <x:f>IF(NOT(ISNUMBER(Z150)),"",ABS(Z150-U150))</x:f>
        <x:v>0.16304694334010605</x:v>
      </x:c>
      <x:c r="AF150" s="93" t="n">
        <x:f>IF(NOT(ISNUMBER(AA150)),"",ABS(LOG10(AA150)-LOG10(V150)))</x:f>
        <x:v>0.04181655757107006</x:v>
      </x:c>
      <x:c r="AG150" s="93" t="n">
        <x:f>IF(NOT(ISNUMBER(AB150)),"",ABS(LOG10(AB150)-LOG10(W150)))</x:f>
        <x:v>0.03270774681049993</x:v>
      </x:c>
      <x:c r="AH150" s="93" t="n">
        <x:f>IF(NOT(ISNUMBER(AC150)),"",ABS(LOG10(AC150)-LOG10(X150)))</x:f>
        <x:v>0.07452430438160107</x:v>
      </x:c>
      <x:c r="AI150" s="85" t="str">
        <x:f>IF(OR(NOT(ISNUMBER(Y150)),NOT(ISNUMBER(Z150)),NOT(ISNUMBER(AA150)),NOT(ISNUMBER(AB150))),"",IF(AND(Y150&gt;=0.3,Y150&lt;=1.2,Z150&lt;=200,AA150&gt;=1E-4,AB150&lt;=1E-6),"PASS","FAIL"))</x:f>
        <x:v>PASS</x:v>
      </x:c>
      <x:c r="AJ150" s="85" t="str"/>
    </x:row>
    <x:row r="151">
      <x:c r="A151" s="85" t="str">
        <x:v>L0720-50</x:v>
      </x:c>
      <x:c r="B151" s="85" t="str">
        <x:v>LR135</x:v>
      </x:c>
      <x:c r="C151" s="93" t="n">
        <x:v>0.72</x:v>
      </x:c>
      <x:c r="D151" s="93" t="str">
        <x:v>Practical</x:v>
      </x:c>
      <x:c r="E151" s="93" t="n">
        <x:v>1</x:v>
      </x:c>
      <x:c r="F151" s="94" t="n">
        <x:v>413929</x:v>
      </x:c>
      <x:c r="G151" s="93" t="n">
        <x:v>0.8734466647407793</x:v>
      </x:c>
      <x:c r="H151" s="93" t="n">
        <x:v>91.597</x:v>
      </x:c>
      <x:c r="I151" s="95" t="n">
        <x:v>0.00014767768794109344</x:v>
      </x:c>
      <x:c r="J151" s="95" t="n">
        <x:v>4.967249884985904e-16</x:v>
      </x:c>
      <x:c r="K151" s="95" t="n">
        <x:v>297302715507.562</x:v>
      </x:c>
      <x:c r="L151" s="95" t="n">
        <x:v>22655628127303.066</x:v>
      </x:c>
      <x:c r="M151" s="95" t="n">
        <x:v>44.97397238224231</x:v>
      </x:c>
      <x:c r="N151" s="95" t="n">
        <x:v>494748602429259.8</x:v>
      </x:c>
      <x:c r="O151" s="95" t="n">
        <x:v>19.35504081674255</x:v>
      </x:c>
      <x:c r="P151" s="93"/>
      <x:c r="Q151" s="95"/>
      <x:c r="R151" s="95"/>
      <x:c r="S151" s="97" t="n">
        <x:v>1</x:v>
      </x:c>
      <x:c r="T151" s="93" t="n">
        <x:v>0.862623333333332</x:v>
      </x:c>
      <x:c r="U151" s="98" t="n">
        <x:v>86.27259487177405</x:v>
      </x:c>
      <x:c r="V151" s="95" t="n">
        <x:v>0.0001536166663091404</x:v>
      </x:c>
      <x:c r="W151" s="95" t="n">
        <x:v>4.859340424282235e-16</x:v>
      </x:c>
      <x:c r="X151" s="95" t="n">
        <x:v>316126578705.03253</x:v>
      </x:c>
      <x:c r="Y151" s="99" t="n">
        <x:f>IFERROR(IF(ISBLANK(INDEX('Long_TCAD'!$H$2:$H$176,MATCH(B151,'Long_TCAD'!$A$2:$A$176,0))),"",INDEX('Long_TCAD'!$H$2:$H$176,MATCH(B151,'Long_TCAD'!$A$2:$A$176,0))),"")</x:f>
        <x:v>0.873</x:v>
      </x:c>
      <x:c r="Z151" s="100" t="n">
        <x:f>IFERROR(IF(ISBLANK(INDEX('Long_TCAD'!$I$2:$I$176,MATCH(B151,'Long_TCAD'!$A$2:$A$176,0))),"",INDEX('Long_TCAD'!$I$2:$I$176,MATCH(B151,'Long_TCAD'!$A$2:$A$176,0))),"")</x:f>
        <x:v>86.212</x:v>
      </x:c>
      <x:c r="AA151" s="96" t="n">
        <x:f>IFERROR(IF(ISBLANK(INDEX('Long_TCAD'!$J$2:$J$176,MATCH(B151,'Long_TCAD'!$A$2:$A$176,0))),"",INDEX('Long_TCAD'!$J$2:$J$176,MATCH(B151,'Long_TCAD'!$A$2:$A$176,0))),"")</x:f>
        <x:v>0.0001652</x:v>
      </x:c>
      <x:c r="AB151" s="96" t="n">
        <x:f>IFERROR(IF(ISBLANK(INDEX('Long_TCAD'!$K$2:$K$176,MATCH(B151,'Long_TCAD'!$A$2:$A$176,0))),"",INDEX('Long_TCAD'!$K$2:$K$176,MATCH(B151,'Long_TCAD'!$A$2:$A$176,0))),"")</x:f>
        <x:v>3.91e-16</x:v>
      </x:c>
      <x:c r="AC151" s="95" t="n">
        <x:f>IF(OR(NOT(ISNUMBER(AA151)),NOT(ISNUMBER(AB151))),"",AA151/AB151)</x:f>
        <x:v>422506393861.8926</x:v>
      </x:c>
      <x:c r="AD151" s="93" t="n">
        <x:f>IF(NOT(ISNUMBER(Y151)),"",ABS(Y151-T151)*1000)</x:f>
        <x:v>10.376666666668033</x:v>
      </x:c>
      <x:c r="AE151" s="93" t="n">
        <x:f>IF(NOT(ISNUMBER(Z151)),"",ABS(Z151-U151))</x:f>
        <x:v>0.06059487177404321</x:v>
      </x:c>
      <x:c r="AF151" s="93" t="n">
        <x:f>IF(NOT(ISNUMBER(AA151)),"",ABS(LOG10(AA151)-LOG10(V151)))</x:f>
        <x:v>0.03157170688887012</x:v>
      </x:c>
      <x:c r="AG151" s="93" t="n">
        <x:f>IF(NOT(ISNUMBER(AB151)),"",ABS(LOG10(AB151)-LOG10(W151)))</x:f>
        <x:v>0.09440056751780013</x:v>
      </x:c>
      <x:c r="AH151" s="93" t="n">
        <x:f>IF(NOT(ISNUMBER(AC151)),"",ABS(LOG10(AC151)-LOG10(X151)))</x:f>
        <x:v>0.1259722744067009</x:v>
      </x:c>
      <x:c r="AI151" s="85" t="str">
        <x:f>IF(OR(NOT(ISNUMBER(Y151)),NOT(ISNUMBER(Z151)),NOT(ISNUMBER(AA151)),NOT(ISNUMBER(AB151))),"",IF(AND(Y151&gt;=0.3,Y151&lt;=1.2,Z151&lt;=200,AA151&gt;=1E-4,AB151&lt;=1E-6),"PASS","FAIL"))</x:f>
        <x:v>PASS</x:v>
      </x:c>
      <x:c r="AJ151" s="85" t="str"/>
    </x:row>
    <x:row r="152">
      <x:c r="A152" s="85" t="str">
        <x:v>L1000-01</x:v>
      </x:c>
      <x:c r="B152" s="85" t="str">
        <x:v>LR136</x:v>
      </x:c>
      <x:c r="C152" s="93" t="n">
        <x:v>1</x:v>
      </x:c>
      <x:c r="D152" s="93" t="str">
        <x:v>Practical</x:v>
      </x:c>
      <x:c r="E152" s="93" t="n">
        <x:v>1</x:v>
      </x:c>
      <x:c r="F152" s="94" t="n">
        <x:v>408569</x:v>
      </x:c>
      <x:c r="G152" s="93" t="n">
        <x:v>0.8832309969452412</x:v>
      </x:c>
      <x:c r="H152" s="93" t="n">
        <x:v>85.42254267477381</x:v>
      </x:c>
      <x:c r="I152" s="95" t="n">
        <x:v>0.00013266572288679054</x:v>
      </x:c>
      <x:c r="J152" s="95" t="n">
        <x:v>6.389948757775348e-16</x:v>
      </x:c>
      <x:c r="K152" s="95" t="n">
        <x:v>207616254708.39914</x:v>
      </x:c>
      <x:c r="L152" s="95" t="n">
        <x:v>46049896596991.04</x:v>
      </x:c>
      <x:c r="M152" s="95" t="n">
        <x:v>66.08131324117042</x:v>
      </x:c>
      <x:c r="N152" s="95" t="n">
        <x:v>52152179990963290</x:v>
      </x:c>
      <x:c r="O152" s="95" t="n">
        <x:v>11.880094551688131</x:v>
      </x:c>
      <x:c r="P152" s="93"/>
      <x:c r="Q152" s="95"/>
      <x:c r="R152" s="95"/>
      <x:c r="S152" s="97" t="n">
        <x:v>1</x:v>
      </x:c>
      <x:c r="T152" s="93" t="n">
        <x:v>0.8781700000000016</x:v>
      </x:c>
      <x:c r="U152" s="98" t="n">
        <x:v>86.41674647787559</x:v>
      </x:c>
      <x:c r="V152" s="95" t="n">
        <x:v>0.0001334801026456538</x:v>
      </x:c>
      <x:c r="W152" s="95" t="n">
        <x:v>6.470013508747674e-16</x:v>
      </x:c>
      <x:c r="X152" s="95" t="n">
        <x:v>206305755722.43283</x:v>
      </x:c>
      <x:c r="Y152" s="99" t="n">
        <x:f>IFERROR(IF(ISBLANK(INDEX('Long_TCAD'!$H$2:$H$176,MATCH(B152,'Long_TCAD'!$A$2:$A$176,0))),"",INDEX('Long_TCAD'!$H$2:$H$176,MATCH(B152,'Long_TCAD'!$A$2:$A$176,0))),"")</x:f>
        <x:v>0.882</x:v>
      </x:c>
      <x:c r="Z152" s="100" t="n">
        <x:f>IFERROR(IF(ISBLANK(INDEX('Long_TCAD'!$I$2:$I$176,MATCH(B152,'Long_TCAD'!$A$2:$A$176,0))),"",INDEX('Long_TCAD'!$I$2:$I$176,MATCH(B152,'Long_TCAD'!$A$2:$A$176,0))),"")</x:f>
        <x:v>86.029</x:v>
      </x:c>
      <x:c r="AA152" s="96" t="n">
        <x:f>IFERROR(IF(ISBLANK(INDEX('Long_TCAD'!$J$2:$J$176,MATCH(B152,'Long_TCAD'!$A$2:$A$176,0))),"",INDEX('Long_TCAD'!$J$2:$J$176,MATCH(B152,'Long_TCAD'!$A$2:$A$176,0))),"")</x:f>
        <x:v>0.0001388</x:v>
      </x:c>
      <x:c r="AB152" s="96" t="n">
        <x:f>IFERROR(IF(ISBLANK(INDEX('Long_TCAD'!$K$2:$K$176,MATCH(B152,'Long_TCAD'!$A$2:$A$176,0))),"",INDEX('Long_TCAD'!$K$2:$K$176,MATCH(B152,'Long_TCAD'!$A$2:$A$176,0))),"")</x:f>
        <x:v>6.325e-16</x:v>
      </x:c>
      <x:c r="AC152" s="95" t="n">
        <x:f>IF(OR(NOT(ISNUMBER(AA152)),NOT(ISNUMBER(AB152))),"",AA152/AB152)</x:f>
        <x:v>219446640316.20554</x:v>
      </x:c>
      <x:c r="AD152" s="93" t="n">
        <x:f>IF(NOT(ISNUMBER(Y152)),"",ABS(Y152-T152)*1000)</x:f>
        <x:v>3.8299999999984458</x:v>
      </x:c>
      <x:c r="AE152" s="93" t="n">
        <x:f>IF(NOT(ISNUMBER(Z152)),"",ABS(Z152-U152))</x:f>
        <x:v>0.387746477875595</x:v>
      </x:c>
      <x:c r="AF152" s="93" t="n">
        <x:f>IF(NOT(ISNUMBER(AA152)),"",ABS(LOG10(AA152)-LOG10(V152)))</x:f>
        <x:v>0.016972934165270015</x:v>
      </x:c>
      <x:c r="AG152" s="93" t="n">
        <x:f>IF(NOT(ISNUMBER(AB152)),"",ABS(LOG10(AB152)-LOG10(W152)))</x:f>
        <x:v>0.009844657585599492</x:v>
      </x:c>
      <x:c r="AH152" s="93" t="n">
        <x:f>IF(NOT(ISNUMBER(AC152)),"",ABS(LOG10(AC152)-LOG10(X152)))</x:f>
        <x:v>0.026817591750999625</x:v>
      </x:c>
      <x:c r="AI152" s="85" t="str">
        <x:f>IF(OR(NOT(ISNUMBER(Y152)),NOT(ISNUMBER(Z152)),NOT(ISNUMBER(AA152)),NOT(ISNUMBER(AB152))),"",IF(AND(Y152&gt;=0.3,Y152&lt;=1.2,Z152&lt;=200,AA152&gt;=1E-4,AB152&lt;=1E-6),"PASS","FAIL"))</x:f>
        <x:v>PASS</x:v>
      </x:c>
      <x:c r="AJ152" s="85" t="str"/>
    </x:row>
    <x:row r="153">
      <x:c r="A153" s="85" t="str">
        <x:v>L1000-02</x:v>
      </x:c>
      <x:c r="B153" s="85" t="str">
        <x:v>LR137</x:v>
      </x:c>
      <x:c r="C153" s="93" t="n">
        <x:v>1</x:v>
      </x:c>
      <x:c r="D153" s="93" t="str">
        <x:v>Practical</x:v>
      </x:c>
      <x:c r="E153" s="93" t="n">
        <x:v>1</x:v>
      </x:c>
      <x:c r="F153" s="94" t="n">
        <x:v>431431</x:v>
      </x:c>
      <x:c r="G153" s="93" t="n">
        <x:v>0.887</x:v>
      </x:c>
      <x:c r="H153" s="93" t="n">
        <x:v>88.49287313564734</x:v>
      </x:c>
      <x:c r="I153" s="95" t="n">
        <x:v>0.0001311</x:v>
      </x:c>
      <x:c r="J153" s="95" t="n">
        <x:v>5.045840229206672e-16</x:v>
      </x:c>
      <x:c r="K153" s="95" t="n">
        <x:v>259817976877.5835</x:v>
      </x:c>
      <x:c r="L153" s="95" t="n">
        <x:v>712391304304648.1</x:v>
      </x:c>
      <x:c r="M153" s="95" t="n">
        <x:v>31.739202631063407</x:v>
      </x:c>
      <x:c r="N153" s="95" t="n">
        <x:v>250319590975193.6</x:v>
      </x:c>
      <x:c r="O153" s="95" t="n">
        <x:v>10.035558439051544</x:v>
      </x:c>
      <x:c r="P153" s="93"/>
      <x:c r="Q153" s="95"/>
      <x:c r="R153" s="95"/>
      <x:c r="S153" s="97" t="n">
        <x:v>1</x:v>
      </x:c>
      <x:c r="T153" s="93" t="n">
        <x:v>0.8850133333333297</x:v>
      </x:c>
      <x:c r="U153" s="98" t="n">
        <x:v>88.33942967354183</x:v>
      </x:c>
      <x:c r="V153" s="95" t="n">
        <x:v>0.000137953652379169</x:v>
      </x:c>
      <x:c r="W153" s="95" t="n">
        <x:v>4.975046183620328e-16</x:v>
      </x:c>
      <x:c r="X153" s="95" t="n">
        <x:v>277291199493.51</x:v>
      </x:c>
      <x:c r="Y153" s="99" t="n">
        <x:f>IFERROR(IF(ISBLANK(INDEX('Long_TCAD'!$H$2:$H$176,MATCH(B153,'Long_TCAD'!$A$2:$A$176,0))),"",INDEX('Long_TCAD'!$H$2:$H$176,MATCH(B153,'Long_TCAD'!$A$2:$A$176,0))),"")</x:f>
        <x:v>0.885</x:v>
      </x:c>
      <x:c r="Z153" s="100" t="n">
        <x:f>IFERROR(IF(ISBLANK(INDEX('Long_TCAD'!$I$2:$I$176,MATCH(B153,'Long_TCAD'!$A$2:$A$176,0))),"",INDEX('Long_TCAD'!$I$2:$I$176,MATCH(B153,'Long_TCAD'!$A$2:$A$176,0))),"")</x:f>
        <x:v>86.94</x:v>
      </x:c>
      <x:c r="AA153" s="96" t="n">
        <x:f>IFERROR(IF(ISBLANK(INDEX('Long_TCAD'!$J$2:$J$176,MATCH(B153,'Long_TCAD'!$A$2:$A$176,0))),"",INDEX('Long_TCAD'!$J$2:$J$176,MATCH(B153,'Long_TCAD'!$A$2:$A$176,0))),"")</x:f>
        <x:v>0.000138</x:v>
      </x:c>
      <x:c r="AB153" s="96" t="n">
        <x:f>IFERROR(IF(ISBLANK(INDEX('Long_TCAD'!$K$2:$K$176,MATCH(B153,'Long_TCAD'!$A$2:$A$176,0))),"",INDEX('Long_TCAD'!$K$2:$K$176,MATCH(B153,'Long_TCAD'!$A$2:$A$176,0))),"")</x:f>
        <x:v>4.896e-16</x:v>
      </x:c>
      <x:c r="AC153" s="95" t="n">
        <x:f>IF(OR(NOT(ISNUMBER(AA153)),NOT(ISNUMBER(AB153))),"",AA153/AB153)</x:f>
        <x:v>281862745098.0392</x:v>
      </x:c>
      <x:c r="AD153" s="93" t="n">
        <x:f>IF(NOT(ISNUMBER(Y153)),"",ABS(Y153-T153)*1000)</x:f>
        <x:v>0.013333333329645924</x:v>
      </x:c>
      <x:c r="AE153" s="93" t="n">
        <x:f>IF(NOT(ISNUMBER(Z153)),"",ABS(Z153-U153))</x:f>
        <x:v>1.3994296735418317</x:v>
      </x:c>
      <x:c r="AF153" s="93" t="n">
        <x:f>IF(NOT(ISNUMBER(AA153)),"",ABS(LOG10(AA153)-LOG10(V153)))</x:f>
        <x:v>0.00014588331042020286</x:v>
      </x:c>
      <x:c r="AG153" s="93" t="n">
        <x:f>IF(NOT(ISNUMBER(AB153)),"",ABS(LOG10(AB153)-LOG10(W153)))</x:f>
        <x:v>0.0069557075419002246</x:v>
      </x:c>
      <x:c r="AH153" s="93" t="n">
        <x:f>IF(NOT(ISNUMBER(AC153)),"",ABS(LOG10(AC153)-LOG10(X153)))</x:f>
        <x:v>0.007101590852299111</x:v>
      </x:c>
      <x:c r="AI153" s="85" t="str">
        <x:f>IF(OR(NOT(ISNUMBER(Y153)),NOT(ISNUMBER(Z153)),NOT(ISNUMBER(AA153)),NOT(ISNUMBER(AB153))),"",IF(AND(Y153&gt;=0.3,Y153&lt;=1.2,Z153&lt;=200,AA153&gt;=1E-4,AB153&lt;=1E-6),"PASS","FAIL"))</x:f>
        <x:v>PASS</x:v>
      </x:c>
      <x:c r="AJ153" s="85" t="str"/>
    </x:row>
    <x:row r="154">
      <x:c r="A154" s="85" t="str">
        <x:v>L1000-03</x:v>
      </x:c>
      <x:c r="B154" s="85" t="str">
        <x:v>LR138</x:v>
      </x:c>
      <x:c r="C154" s="93" t="n">
        <x:v>1</x:v>
      </x:c>
      <x:c r="D154" s="93" t="str">
        <x:v>Practical</x:v>
      </x:c>
      <x:c r="E154" s="93" t="n">
        <x:v>1</x:v>
      </x:c>
      <x:c r="F154" s="94" t="n">
        <x:v>428204</x:v>
      </x:c>
      <x:c r="G154" s="93" t="n">
        <x:v>0.8708717337983665</x:v>
      </x:c>
      <x:c r="H154" s="93" t="n">
        <x:v>83.492</x:v>
      </x:c>
      <x:c r="I154" s="95" t="n">
        <x:v>0.0001493807470338448</x:v>
      </x:c>
      <x:c r="J154" s="95" t="n">
        <x:v>4.94280938591143e-16</x:v>
      </x:c>
      <x:c r="K154" s="95" t="n">
        <x:v>302218304148.2991</x:v>
      </x:c>
      <x:c r="L154" s="95" t="n">
        <x:v>593600874511006.5</x:v>
      </x:c>
      <x:c r="M154" s="95" t="n">
        <x:v>12.057720853448618</x:v>
      </x:c>
      <x:c r="N154" s="95" t="n">
        <x:v>945806479380617900</x:v>
      </x:c>
      <x:c r="O154" s="95" t="n">
        <x:v>19.272615825844827</x:v>
      </x:c>
      <x:c r="P154" s="93"/>
      <x:c r="Q154" s="95"/>
      <x:c r="R154" s="95"/>
      <x:c r="S154" s="97" t="n">
        <x:v>1</x:v>
      </x:c>
      <x:c r="T154" s="93" t="n">
        <x:v>0.8829966666666699</x:v>
      </x:c>
      <x:c r="U154" s="98" t="n">
        <x:v>82.98092268233226</x:v>
      </x:c>
      <x:c r="V154" s="95" t="n">
        <x:v>0.00014660173058351632</x:v>
      </x:c>
      <x:c r="W154" s="95" t="n">
        <x:v>5.258150663890507e-16</x:v>
      </x:c>
      <x:c r="X154" s="95" t="n">
        <x:v>278808539265.1067</x:v>
      </x:c>
      <x:c r="Y154" s="99" t="n">
        <x:f>IFERROR(IF(ISBLANK(INDEX('Long_TCAD'!$H$2:$H$176,MATCH(B154,'Long_TCAD'!$A$2:$A$176,0))),"",INDEX('Long_TCAD'!$H$2:$H$176,MATCH(B154,'Long_TCAD'!$A$2:$A$176,0))),"")</x:f>
        <x:v>0.884</x:v>
      </x:c>
      <x:c r="Z154" s="100" t="n">
        <x:f>IFERROR(IF(ISBLANK(INDEX('Long_TCAD'!$I$2:$I$176,MATCH(B154,'Long_TCAD'!$A$2:$A$176,0))),"",INDEX('Long_TCAD'!$I$2:$I$176,MATCH(B154,'Long_TCAD'!$A$2:$A$176,0))),"")</x:f>
        <x:v>86.015</x:v>
      </x:c>
      <x:c r="AA154" s="96" t="n">
        <x:f>IFERROR(IF(ISBLANK(INDEX('Long_TCAD'!$J$2:$J$176,MATCH(B154,'Long_TCAD'!$A$2:$A$176,0))),"",INDEX('Long_TCAD'!$J$2:$J$176,MATCH(B154,'Long_TCAD'!$A$2:$A$176,0))),"")</x:f>
        <x:v>0.0001451</x:v>
      </x:c>
      <x:c r="AB154" s="96" t="n">
        <x:f>IFERROR(IF(ISBLANK(INDEX('Long_TCAD'!$K$2:$K$176,MATCH(B154,'Long_TCAD'!$A$2:$A$176,0))),"",INDEX('Long_TCAD'!$K$2:$K$176,MATCH(B154,'Long_TCAD'!$A$2:$A$176,0))),"")</x:f>
        <x:v>3.687e-16</x:v>
      </x:c>
      <x:c r="AC154" s="95" t="n">
        <x:f>IF(OR(NOT(ISNUMBER(AA154)),NOT(ISNUMBER(AB154))),"",AA154/AB154)</x:f>
        <x:v>393544887442.36505</x:v>
      </x:c>
      <x:c r="AD154" s="93" t="n">
        <x:f>IF(NOT(ISNUMBER(Y154)),"",ABS(Y154-T154)*1000)</x:f>
        <x:v>1.0033333333301364</x:v>
      </x:c>
      <x:c r="AE154" s="93" t="n">
        <x:f>IF(NOT(ISNUMBER(Z154)),"",ABS(Z154-U154))</x:f>
        <x:v>3.0340773176677374</x:v>
      </x:c>
      <x:c r="AF154" s="93" t="n">
        <x:f>IF(NOT(ISNUMBER(AA154)),"",ABS(LOG10(AA154)-LOG10(V154)))</x:f>
        <x:v>0.004471684596119907</x:v>
      </x:c>
      <x:c r="AG154" s="93" t="n">
        <x:f>IF(NOT(ISNUMBER(AB154)),"",ABS(LOG10(AB154)-LOG10(W154)))</x:f>
        <x:v>0.15415988835570005</x:v>
      </x:c>
      <x:c r="AH154" s="93" t="n">
        <x:f>IF(NOT(ISNUMBER(AC154)),"",ABS(LOG10(AC154)-LOG10(X154)))</x:f>
        <x:v>0.14968820375960057</x:v>
      </x:c>
      <x:c r="AI154" s="85" t="str">
        <x:f>IF(OR(NOT(ISNUMBER(Y154)),NOT(ISNUMBER(Z154)),NOT(ISNUMBER(AA154)),NOT(ISNUMBER(AB154))),"",IF(AND(Y154&gt;=0.3,Y154&lt;=1.2,Z154&lt;=200,AA154&gt;=1E-4,AB154&lt;=1E-6),"PASS","FAIL"))</x:f>
        <x:v>PASS</x:v>
      </x:c>
      <x:c r="AJ154" s="85" t="str"/>
    </x:row>
    <x:row r="155">
      <x:c r="A155" s="85" t="str">
        <x:v>L1000-04</x:v>
      </x:c>
      <x:c r="B155" s="85" t="str">
        <x:v>LR139</x:v>
      </x:c>
      <x:c r="C155" s="93" t="n">
        <x:v>1</x:v>
      </x:c>
      <x:c r="D155" s="93" t="str">
        <x:v>Practical</x:v>
      </x:c>
      <x:c r="E155" s="93" t="n">
        <x:v>1</x:v>
      </x:c>
      <x:c r="F155" s="94" t="n">
        <x:v>362046</x:v>
      </x:c>
      <x:c r="G155" s="93" t="n">
        <x:v>0.8866533038674889</x:v>
      </x:c>
      <x:c r="H155" s="93" t="n">
        <x:v>92.60362239165173</x:v>
      </x:c>
      <x:c r="I155" s="95" t="n">
        <x:v>0.00014097260344648362</x:v>
      </x:c>
      <x:c r="J155" s="95" t="n">
        <x:v>2.98e-16</x:v>
      </x:c>
      <x:c r="K155" s="95" t="n">
        <x:v>473062427672.7638</x:v>
      </x:c>
      <x:c r="L155" s="95" t="n">
        <x:v>90296272479144.9</x:v>
      </x:c>
      <x:c r="M155" s="95" t="n">
        <x:v>21.223638245523667</x:v>
      </x:c>
      <x:c r="N155" s="95" t="n">
        <x:v>282059152152060380</x:v>
      </x:c>
      <x:c r="O155" s="95" t="n">
        <x:v>11.741936582452169</x:v>
      </x:c>
      <x:c r="P155" s="93"/>
      <x:c r="Q155" s="95"/>
      <x:c r="R155" s="95"/>
      <x:c r="S155" s="97" t="n">
        <x:v>0.9966666666666667</x:v>
      </x:c>
      <x:c r="T155" s="93" t="n">
        <x:v>0.889853333333328</x:v>
      </x:c>
      <x:c r="U155" s="98" t="n">
        <x:v>86.5612337946671</x:v>
      </x:c>
      <x:c r="V155" s="95" t="n">
        <x:v>0.0001374821675697424</x:v>
      </x:c>
      <x:c r="W155" s="95" t="n">
        <x:v>2.9770440930122413e-16</x:v>
      </x:c>
      <x:c r="X155" s="95" t="n">
        <x:v>461807629562.63367</x:v>
      </x:c>
      <x:c r="Y155" s="99" t="n">
        <x:f>IFERROR(IF(ISBLANK(INDEX('Long_TCAD'!$H$2:$H$176,MATCH(B155,'Long_TCAD'!$A$2:$A$176,0))),"",INDEX('Long_TCAD'!$H$2:$H$176,MATCH(B155,'Long_TCAD'!$A$2:$A$176,0))),"")</x:f>
        <x:v>0.889</x:v>
      </x:c>
      <x:c r="Z155" s="100" t="n">
        <x:f>IFERROR(IF(ISBLANK(INDEX('Long_TCAD'!$I$2:$I$176,MATCH(B155,'Long_TCAD'!$A$2:$A$176,0))),"",INDEX('Long_TCAD'!$I$2:$I$176,MATCH(B155,'Long_TCAD'!$A$2:$A$176,0))),"")</x:f>
        <x:v>86.491</x:v>
      </x:c>
      <x:c r="AA155" s="96" t="n">
        <x:f>IFERROR(IF(ISBLANK(INDEX('Long_TCAD'!$J$2:$J$176,MATCH(B155,'Long_TCAD'!$A$2:$A$176,0))),"",INDEX('Long_TCAD'!$J$2:$J$176,MATCH(B155,'Long_TCAD'!$A$2:$A$176,0))),"")</x:f>
        <x:v>0.0001388</x:v>
      </x:c>
      <x:c r="AB155" s="96" t="n">
        <x:f>IFERROR(IF(ISBLANK(INDEX('Long_TCAD'!$K$2:$K$176,MATCH(B155,'Long_TCAD'!$A$2:$A$176,0))),"",INDEX('Long_TCAD'!$K$2:$K$176,MATCH(B155,'Long_TCAD'!$A$2:$A$176,0))),"")</x:f>
        <x:v>2.888e-16</x:v>
      </x:c>
      <x:c r="AC155" s="95" t="n">
        <x:f>IF(OR(NOT(ISNUMBER(AA155)),NOT(ISNUMBER(AB155))),"",AA155/AB155)</x:f>
        <x:v>480609418282.5486</x:v>
      </x:c>
      <x:c r="AD155" s="93" t="n">
        <x:f>IF(NOT(ISNUMBER(Y155)),"",ABS(Y155-T155)*1000)</x:f>
        <x:v>0.8533333333279325</x:v>
      </x:c>
      <x:c r="AE155" s="93" t="n">
        <x:f>IF(NOT(ISNUMBER(Z155)),"",ABS(Z155-U155))</x:f>
        <x:v>0.07023379466710367</x:v>
      </x:c>
      <x:c r="AF155" s="93" t="n">
        <x:f>IF(NOT(ISNUMBER(AA155)),"",ABS(LOG10(AA155)-LOG10(V155)))</x:f>
        <x:v>0.004143095431090149</x:v>
      </x:c>
      <x:c r="AG155" s="93" t="n">
        <x:f>IF(NOT(ISNUMBER(AB155)),"",ABS(LOG10(AB155)-LOG10(W155)))</x:f>
        <x:v>0.013188078134099612</x:v>
      </x:c>
      <x:c r="AH155" s="93" t="n">
        <x:f>IF(NOT(ISNUMBER(AC155)),"",ABS(LOG10(AC155)-LOG10(X155)))</x:f>
        <x:v>0.017331173565199975</x:v>
      </x:c>
      <x:c r="AI155" s="85" t="str">
        <x:f>IF(OR(NOT(ISNUMBER(Y155)),NOT(ISNUMBER(Z155)),NOT(ISNUMBER(AA155)),NOT(ISNUMBER(AB155))),"",IF(AND(Y155&gt;=0.3,Y155&lt;=1.2,Z155&lt;=200,AA155&gt;=1E-4,AB155&lt;=1E-6),"PASS","FAIL"))</x:f>
        <x:v>PASS</x:v>
      </x:c>
      <x:c r="AJ155" s="85" t="str"/>
    </x:row>
    <x:row r="156">
      <x:c r="A156" s="85" t="str">
        <x:v>L1000-05</x:v>
      </x:c>
      <x:c r="B156" s="85" t="str">
        <x:v>LR140</x:v>
      </x:c>
      <x:c r="C156" s="93" t="n">
        <x:v>1</x:v>
      </x:c>
      <x:c r="D156" s="93" t="str">
        <x:v>Practical</x:v>
      </x:c>
      <x:c r="E156" s="93" t="n">
        <x:v>1</x:v>
      </x:c>
      <x:c r="F156" s="94" t="n">
        <x:v>430070</x:v>
      </x:c>
      <x:c r="G156" s="93" t="n">
        <x:v>0.8715726109166976</x:v>
      </x:c>
      <x:c r="H156" s="93" t="n">
        <x:v>83.492</x:v>
      </x:c>
      <x:c r="I156" s="95" t="n">
        <x:v>0.00013295861701922854</x:v>
      </x:c>
      <x:c r="J156" s="95" t="n">
        <x:v>5.013747398740686e-16</x:v>
      </x:c>
      <x:c r="K156" s="95" t="n">
        <x:v>265188104715.096</x:v>
      </x:c>
      <x:c r="L156" s="95" t="n">
        <x:v>69852618011322.81</x:v>
      </x:c>
      <x:c r="M156" s="95" t="n">
        <x:v>36.78975682033334</x:v>
      </x:c>
      <x:c r="N156" s="95" t="n">
        <x:v>177586060333500.88</x:v>
      </x:c>
      <x:c r="O156" s="95" t="n">
        <x:v>36.743803824545864</x:v>
      </x:c>
      <x:c r="P156" s="93"/>
      <x:c r="Q156" s="95"/>
      <x:c r="R156" s="95"/>
      <x:c r="S156" s="97" t="n">
        <x:v>1</x:v>
      </x:c>
      <x:c r="T156" s="93" t="n">
        <x:v>0.8729999999999986</x:v>
      </x:c>
      <x:c r="U156" s="98" t="n">
        <x:v>86.24252607791504</x:v>
      </x:c>
      <x:c r="V156" s="95" t="n">
        <x:v>0.00013184849840046202</x:v>
      </x:c>
      <x:c r="W156" s="95" t="n">
        <x:v>4.850150111389238e-16</x:v>
      </x:c>
      <x:c r="X156" s="95" t="n">
        <x:v>271844160226.81903</x:v>
      </x:c>
      <x:c r="Y156" s="99" t="n">
        <x:f>IFERROR(IF(ISBLANK(INDEX('Long_TCAD'!$H$2:$H$176,MATCH(B156,'Long_TCAD'!$A$2:$A$176,0))),"",INDEX('Long_TCAD'!$H$2:$H$176,MATCH(B156,'Long_TCAD'!$A$2:$A$176,0))),"")</x:f>
        <x:v>0.879</x:v>
      </x:c>
      <x:c r="Z156" s="100" t="n">
        <x:f>IFERROR(IF(ISBLANK(INDEX('Long_TCAD'!$I$2:$I$176,MATCH(B156,'Long_TCAD'!$A$2:$A$176,0))),"",INDEX('Long_TCAD'!$I$2:$I$176,MATCH(B156,'Long_TCAD'!$A$2:$A$176,0))),"")</x:f>
        <x:v>86.541</x:v>
      </x:c>
      <x:c r="AA156" s="96" t="n">
        <x:f>IFERROR(IF(ISBLANK(INDEX('Long_TCAD'!$J$2:$J$176,MATCH(B156,'Long_TCAD'!$A$2:$A$176,0))),"",INDEX('Long_TCAD'!$J$2:$J$176,MATCH(B156,'Long_TCAD'!$A$2:$A$176,0))),"")</x:f>
        <x:v>0.0001327</x:v>
      </x:c>
      <x:c r="AB156" s="96" t="n">
        <x:f>IFERROR(IF(ISBLANK(INDEX('Long_TCAD'!$K$2:$K$176,MATCH(B156,'Long_TCAD'!$A$2:$A$176,0))),"",INDEX('Long_TCAD'!$K$2:$K$176,MATCH(B156,'Long_TCAD'!$A$2:$A$176,0))),"")</x:f>
        <x:v>4.688e-16</x:v>
      </x:c>
      <x:c r="AC156" s="95" t="n">
        <x:f>IF(OR(NOT(ISNUMBER(AA156)),NOT(ISNUMBER(AB156))),"",AA156/AB156)</x:f>
        <x:v>283063139931.7406</x:v>
      </x:c>
      <x:c r="AD156" s="93" t="n">
        <x:f>IF(NOT(ISNUMBER(Y156)),"",ABS(Y156-T156)*1000)</x:f>
        <x:v>6.000000000001449</x:v>
      </x:c>
      <x:c r="AE156" s="93" t="n">
        <x:f>IF(NOT(ISNUMBER(Z156)),"",ABS(Z156-U156))</x:f>
        <x:v>0.29847392208495194</x:v>
      </x:c>
      <x:c r="AF156" s="93" t="n">
        <x:f>IF(NOT(ISNUMBER(AA156)),"",ABS(LOG10(AA156)-LOG10(V156)))</x:f>
        <x:v>0.00279573481087958</x:v>
      </x:c>
      <x:c r="AG156" s="93" t="n">
        <x:f>IF(NOT(ISNUMBER(AB156)),"",ABS(LOG10(AB156)-LOG10(W156)))</x:f>
        <x:v>0.014767577146701072</x:v>
      </x:c>
      <x:c r="AH156" s="93" t="n">
        <x:f>IF(NOT(ISNUMBER(AC156)),"",ABS(LOG10(AC156)-LOG10(X156)))</x:f>
        <x:v>0.01756331195760019</x:v>
      </x:c>
      <x:c r="AI156" s="85" t="str">
        <x:f>IF(OR(NOT(ISNUMBER(Y156)),NOT(ISNUMBER(Z156)),NOT(ISNUMBER(AA156)),NOT(ISNUMBER(AB156))),"",IF(AND(Y156&gt;=0.3,Y156&lt;=1.2,Z156&lt;=200,AA156&gt;=1E-4,AB156&lt;=1E-6),"PASS","FAIL"))</x:f>
        <x:v>PASS</x:v>
      </x:c>
      <x:c r="AJ156" s="85" t="str"/>
    </x:row>
    <x:row r="157">
      <x:c r="A157" s="85" t="str">
        <x:v>L1000-06</x:v>
      </x:c>
      <x:c r="B157" s="85" t="str">
        <x:v>LR141</x:v>
      </x:c>
      <x:c r="C157" s="93" t="n">
        <x:v>1</x:v>
      </x:c>
      <x:c r="D157" s="93" t="str">
        <x:v>Practical</x:v>
      </x:c>
      <x:c r="E157" s="93" t="n">
        <x:v>1</x:v>
      </x:c>
      <x:c r="F157" s="94" t="n">
        <x:v>429609</x:v>
      </x:c>
      <x:c r="G157" s="93" t="n">
        <x:v>0.886180066668267</x:v>
      </x:c>
      <x:c r="H157" s="93" t="n">
        <x:v>91.07689499955453</x:v>
      </x:c>
      <x:c r="I157" s="95" t="n">
        <x:v>0.00015245365360573042</x:v>
      </x:c>
      <x:c r="J157" s="95" t="n">
        <x:v>5.260145253131603e-16</x:v>
      </x:c>
      <x:c r="K157" s="95" t="n">
        <x:v>289827839858.5435</x:v>
      </x:c>
      <x:c r="L157" s="95" t="n">
        <x:v>821194310279683.2</x:v>
      </x:c>
      <x:c r="M157" s="95" t="n">
        <x:v>21.753118050919376</x:v>
      </x:c>
      <x:c r="N157" s="95" t="n">
        <x:v>947914757495639200</x:v>
      </x:c>
      <x:c r="O157" s="95" t="n">
        <x:v>20.777368713563913</x:v>
      </x:c>
      <x:c r="P157" s="93"/>
      <x:c r="Q157" s="95"/>
      <x:c r="R157" s="95"/>
      <x:c r="S157" s="97" t="n">
        <x:v>0.9966666666666667</x:v>
      </x:c>
      <x:c r="T157" s="93" t="n">
        <x:v>0.8832033333333351</x:v>
      </x:c>
      <x:c r="U157" s="98" t="n">
        <x:v>92.46939333248211</x:v>
      </x:c>
      <x:c r="V157" s="95" t="n">
        <x:v>0.00014668095001914123</x:v>
      </x:c>
      <x:c r="W157" s="95" t="n">
        <x:v>5.286810990692936e-16</x:v>
      </x:c>
      <x:c r="X157" s="95" t="n">
        <x:v>277446934035.2112</x:v>
      </x:c>
      <x:c r="Y157" s="99" t="n">
        <x:f>IFERROR(IF(ISBLANK(INDEX('Long_TCAD'!$H$2:$H$176,MATCH(B157,'Long_TCAD'!$A$2:$A$176,0))),"",INDEX('Long_TCAD'!$H$2:$H$176,MATCH(B157,'Long_TCAD'!$A$2:$A$176,0))),"")</x:f>
        <x:v>0.884</x:v>
      </x:c>
      <x:c r="Z157" s="100" t="n">
        <x:f>IFERROR(IF(ISBLANK(INDEX('Long_TCAD'!$I$2:$I$176,MATCH(B157,'Long_TCAD'!$A$2:$A$176,0))),"",INDEX('Long_TCAD'!$I$2:$I$176,MATCH(B157,'Long_TCAD'!$A$2:$A$176,0))),"")</x:f>
        <x:v>85.965</x:v>
      </x:c>
      <x:c r="AA157" s="96" t="n">
        <x:f>IFERROR(IF(ISBLANK(INDEX('Long_TCAD'!$J$2:$J$176,MATCH(B157,'Long_TCAD'!$A$2:$A$176,0))),"",INDEX('Long_TCAD'!$J$2:$J$176,MATCH(B157,'Long_TCAD'!$A$2:$A$176,0))),"")</x:f>
        <x:v>0.000146</x:v>
      </x:c>
      <x:c r="AB157" s="96" t="n">
        <x:f>IFERROR(IF(ISBLANK(INDEX('Long_TCAD'!$K$2:$K$176,MATCH(B157,'Long_TCAD'!$A$2:$A$176,0))),"",INDEX('Long_TCAD'!$K$2:$K$176,MATCH(B157,'Long_TCAD'!$A$2:$A$176,0))),"")</x:f>
        <x:v>4.038e-16</x:v>
      </x:c>
      <x:c r="AC157" s="95" t="n">
        <x:f>IF(OR(NOT(ISNUMBER(AA157)),NOT(ISNUMBER(AB157))),"",AA157/AB157)</x:f>
        <x:v>361565131253.0956</x:v>
      </x:c>
      <x:c r="AD157" s="93" t="n">
        <x:f>IF(NOT(ISNUMBER(Y157)),"",ABS(Y157-T157)*1000)</x:f>
        <x:v>0.7966666666648914</x:v>
      </x:c>
      <x:c r="AE157" s="93" t="n">
        <x:f>IF(NOT(ISNUMBER(Z157)),"",ABS(Z157-U157))</x:f>
        <x:v>6.50439333248211</x:v>
      </x:c>
      <x:c r="AF157" s="93" t="n">
        <x:f>IF(NOT(ISNUMBER(AA157)),"",ABS(LOG10(AA157)-LOG10(V157)))</x:f>
        <x:v>0.0020208583397902657</x:v>
      </x:c>
      <x:c r="AG157" s="93" t="n">
        <x:f>IF(NOT(ISNUMBER(AB157)),"",ABS(LOG10(AB157)-LOG10(W157)))</x:f>
        <x:v>0.1170274695696989</x:v>
      </x:c>
      <x:c r="AH157" s="93" t="n">
        <x:f>IF(NOT(ISNUMBER(AC157)),"",ABS(LOG10(AC157)-LOG10(X157)))</x:f>
        <x:v>0.11500661122989975</x:v>
      </x:c>
      <x:c r="AI157" s="85" t="str">
        <x:f>IF(OR(NOT(ISNUMBER(Y157)),NOT(ISNUMBER(Z157)),NOT(ISNUMBER(AA157)),NOT(ISNUMBER(AB157))),"",IF(AND(Y157&gt;=0.3,Y157&lt;=1.2,Z157&lt;=200,AA157&gt;=1E-4,AB157&lt;=1E-6),"PASS","FAIL"))</x:f>
        <x:v>PASS</x:v>
      </x:c>
      <x:c r="AJ157" s="85" t="str"/>
    </x:row>
    <x:row r="158">
      <x:c r="A158" s="85" t="str">
        <x:v>L1000-07</x:v>
      </x:c>
      <x:c r="B158" s="85" t="str">
        <x:v>LR142</x:v>
      </x:c>
      <x:c r="C158" s="93" t="n">
        <x:v>1</x:v>
      </x:c>
      <x:c r="D158" s="93" t="str">
        <x:v>Practical</x:v>
      </x:c>
      <x:c r="E158" s="93" t="n">
        <x:v>1</x:v>
      </x:c>
      <x:c r="F158" s="94" t="n">
        <x:v>430070</x:v>
      </x:c>
      <x:c r="G158" s="93" t="n">
        <x:v>0.8855498657017642</x:v>
      </x:c>
      <x:c r="H158" s="93" t="n">
        <x:v>83.492</x:v>
      </x:c>
      <x:c r="I158" s="95" t="n">
        <x:v>0.0001342943951609991</x:v>
      </x:c>
      <x:c r="J158" s="95" t="n">
        <x:v>5.185450441077153e-16</x:v>
      </x:c>
      <x:c r="K158" s="95" t="n">
        <x:v>258983084858.29953</x:v>
      </x:c>
      <x:c r="L158" s="95" t="n">
        <x:v>51783972568909.266</x:v>
      </x:c>
      <x:c r="M158" s="95" t="n">
        <x:v>10.521901643583877</x:v>
      </x:c>
      <x:c r="N158" s="95" t="n">
        <x:v>1489598000321620.2</x:v>
      </x:c>
      <x:c r="O158" s="95" t="n">
        <x:v>33.623731309122306</x:v>
      </x:c>
      <x:c r="P158" s="93"/>
      <x:c r="Q158" s="95"/>
      <x:c r="R158" s="95"/>
      <x:c r="S158" s="97" t="n">
        <x:v>1</x:v>
      </x:c>
      <x:c r="T158" s="93" t="n">
        <x:v>0.8868400000000001</x:v>
      </x:c>
      <x:c r="U158" s="98" t="n">
        <x:v>86.30045693215983</x:v>
      </x:c>
      <x:c r="V158" s="95" t="n">
        <x:v>0.00013331684486780275</x:v>
      </x:c>
      <x:c r="W158" s="95" t="n">
        <x:v>5.145890768196318e-16</x:v>
      </x:c>
      <x:c r="X158" s="95" t="n">
        <x:v>259074377737.97037</x:v>
      </x:c>
      <x:c r="Y158" s="99" t="n">
        <x:f>IFERROR(IF(ISBLANK(INDEX('Long_TCAD'!$H$2:$H$176,MATCH(B158,'Long_TCAD'!$A$2:$A$176,0))),"",INDEX('Long_TCAD'!$H$2:$H$176,MATCH(B158,'Long_TCAD'!$A$2:$A$176,0))),"")</x:f>
        <x:v>0.884</x:v>
      </x:c>
      <x:c r="Z158" s="100" t="n">
        <x:f>IFERROR(IF(ISBLANK(INDEX('Long_TCAD'!$I$2:$I$176,MATCH(B158,'Long_TCAD'!$A$2:$A$176,0))),"",INDEX('Long_TCAD'!$I$2:$I$176,MATCH(B158,'Long_TCAD'!$A$2:$A$176,0))),"")</x:f>
        <x:v>86.135</x:v>
      </x:c>
      <x:c r="AA158" s="96" t="n">
        <x:f>IFERROR(IF(ISBLANK(INDEX('Long_TCAD'!$J$2:$J$176,MATCH(B158,'Long_TCAD'!$A$2:$A$176,0))),"",INDEX('Long_TCAD'!$J$2:$J$176,MATCH(B158,'Long_TCAD'!$A$2:$A$176,0))),"")</x:f>
        <x:v>0.000137</x:v>
      </x:c>
      <x:c r="AB158" s="96" t="n">
        <x:f>IFERROR(IF(ISBLANK(INDEX('Long_TCAD'!$K$2:$K$176,MATCH(B158,'Long_TCAD'!$A$2:$A$176,0))),"",INDEX('Long_TCAD'!$K$2:$K$176,MATCH(B158,'Long_TCAD'!$A$2:$A$176,0))),"")</x:f>
        <x:v>6.213e-16</x:v>
      </x:c>
      <x:c r="AC158" s="95" t="n">
        <x:f>IF(OR(NOT(ISNUMBER(AA158)),NOT(ISNUMBER(AB158))),"",AA158/AB158)</x:f>
        <x:v>220505391920.1674</x:v>
      </x:c>
      <x:c r="AD158" s="93" t="n">
        <x:f>IF(NOT(ISNUMBER(Y158)),"",ABS(Y158-T158)*1000)</x:f>
        <x:v>2.8400000000000647</x:v>
      </x:c>
      <x:c r="AE158" s="93" t="n">
        <x:f>IF(NOT(ISNUMBER(Z158)),"",ABS(Z158-U158))</x:f>
        <x:v>0.16545693215982737</x:v>
      </x:c>
      <x:c r="AF158" s="93" t="n">
        <x:f>IF(NOT(ISNUMBER(AA158)),"",ABS(LOG10(AA158)-LOG10(V158)))</x:f>
        <x:v>0.011835540241099896</x:v>
      </x:c>
      <x:c r="AG158" s="93" t="n">
        <x:f>IF(NOT(ISNUMBER(AB158)),"",ABS(LOG10(AB158)-LOG10(W158)))</x:f>
        <x:v>0.08184079040819903</x:v>
      </x:c>
      <x:c r="AH158" s="93" t="n">
        <x:f>IF(NOT(ISNUMBER(AC158)),"",ABS(LOG10(AC158)-LOG10(X158)))</x:f>
        <x:v>0.07000525016710135</x:v>
      </x:c>
      <x:c r="AI158" s="85" t="str">
        <x:f>IF(OR(NOT(ISNUMBER(Y158)),NOT(ISNUMBER(Z158)),NOT(ISNUMBER(AA158)),NOT(ISNUMBER(AB158))),"",IF(AND(Y158&gt;=0.3,Y158&lt;=1.2,Z158&lt;=200,AA158&gt;=1E-4,AB158&lt;=1E-6),"PASS","FAIL"))</x:f>
        <x:v>PASS</x:v>
      </x:c>
      <x:c r="AJ158" s="85" t="str"/>
    </x:row>
    <x:row r="159">
      <x:c r="A159" s="85" t="str">
        <x:v>L1000-08</x:v>
      </x:c>
      <x:c r="B159" s="85" t="str">
        <x:v>LR143</x:v>
      </x:c>
      <x:c r="C159" s="93" t="n">
        <x:v>1</x:v>
      </x:c>
      <x:c r="D159" s="93" t="str">
        <x:v>Practical</x:v>
      </x:c>
      <x:c r="E159" s="93" t="n">
        <x:v>1</x:v>
      </x:c>
      <x:c r="F159" s="94" t="n">
        <x:v>401506</x:v>
      </x:c>
      <x:c r="G159" s="93" t="n">
        <x:v>0.887</x:v>
      </x:c>
      <x:c r="H159" s="93" t="n">
        <x:v>83.492</x:v>
      </x:c>
      <x:c r="I159" s="95" t="n">
        <x:v>0.000164</x:v>
      </x:c>
      <x:c r="J159" s="95" t="n">
        <x:v>6.561169167533939e-16</x:v>
      </x:c>
      <x:c r="K159" s="95" t="n">
        <x:v>249955451250.22366</x:v>
      </x:c>
      <x:c r="L159" s="95" t="n">
        <x:v>116801957529554.4</x:v>
      </x:c>
      <x:c r="M159" s="95" t="n">
        <x:v>64.10204645229828</x:v>
      </x:c>
      <x:c r="N159" s="95" t="n">
        <x:v>174919897601106980</x:v>
      </x:c>
      <x:c r="O159" s="95" t="n">
        <x:v>28.979871605706094</x:v>
      </x:c>
      <x:c r="P159" s="93"/>
      <x:c r="Q159" s="95"/>
      <x:c r="R159" s="95"/>
      <x:c r="S159" s="97" t="n">
        <x:v>1</x:v>
      </x:c>
      <x:c r="T159" s="93" t="n">
        <x:v>0.8649233333333336</x:v>
      </x:c>
      <x:c r="U159" s="98" t="n">
        <x:v>84.96977199285665</x:v>
      </x:c>
      <x:c r="V159" s="95" t="n">
        <x:v>0.00014785798030264087</x:v>
      </x:c>
      <x:c r="W159" s="95" t="n">
        <x:v>6.308283954535076e-16</x:v>
      </x:c>
      <x:c r="X159" s="95" t="n">
        <x:v>234387008207.4295</x:v>
      </x:c>
      <x:c r="Y159" s="99" t="n">
        <x:f>IFERROR(IF(ISBLANK(INDEX('Long_TCAD'!$H$2:$H$176,MATCH(B159,'Long_TCAD'!$A$2:$A$176,0))),"",INDEX('Long_TCAD'!$H$2:$H$176,MATCH(B159,'Long_TCAD'!$A$2:$A$176,0))),"")</x:f>
        <x:v>0.873</x:v>
      </x:c>
      <x:c r="Z159" s="100" t="n">
        <x:f>IFERROR(IF(ISBLANK(INDEX('Long_TCAD'!$I$2:$I$176,MATCH(B159,'Long_TCAD'!$A$2:$A$176,0))),"",INDEX('Long_TCAD'!$I$2:$I$176,MATCH(B159,'Long_TCAD'!$A$2:$A$176,0))),"")</x:f>
        <x:v>85.364</x:v>
      </x:c>
      <x:c r="AA159" s="96" t="n">
        <x:f>IFERROR(IF(ISBLANK(INDEX('Long_TCAD'!$J$2:$J$176,MATCH(B159,'Long_TCAD'!$A$2:$A$176,0))),"",INDEX('Long_TCAD'!$J$2:$J$176,MATCH(B159,'Long_TCAD'!$A$2:$A$176,0))),"")</x:f>
        <x:v>0.0001492</x:v>
      </x:c>
      <x:c r="AB159" s="96" t="n">
        <x:f>IFERROR(IF(ISBLANK(INDEX('Long_TCAD'!$K$2:$K$176,MATCH(B159,'Long_TCAD'!$A$2:$A$176,0))),"",INDEX('Long_TCAD'!$K$2:$K$176,MATCH(B159,'Long_TCAD'!$A$2:$A$176,0))),"")</x:f>
        <x:v>5.65e-16</x:v>
      </x:c>
      <x:c r="AC159" s="95" t="n">
        <x:f>IF(OR(NOT(ISNUMBER(AA159)),NOT(ISNUMBER(AB159))),"",AA159/AB159)</x:f>
        <x:v>264070796460.17697</x:v>
      </x:c>
      <x:c r="AD159" s="93" t="n">
        <x:f>IF(NOT(ISNUMBER(Y159)),"",ABS(Y159-T159)*1000)</x:f>
        <x:v>8.076666666666398</x:v>
      </x:c>
      <x:c r="AE159" s="93" t="n">
        <x:f>IF(NOT(ISNUMBER(Z159)),"",ABS(Z159-U159))</x:f>
        <x:v>0.3942280071433544</x:v>
      </x:c>
      <x:c r="AF159" s="93" t="n">
        <x:f>IF(NOT(ISNUMBER(AA159)),"",ABS(LOG10(AA159)-LOG10(V159)))</x:f>
        <x:v>0.00392405357197978</x:v>
      </x:c>
      <x:c r="AG159" s="93" t="n">
        <x:f>IF(NOT(ISNUMBER(AB159)),"",ABS(LOG10(AB159)-LOG10(W159)))</x:f>
        <x:v>0.04786278615770101</x:v>
      </x:c>
      <x:c r="AH159" s="93" t="n">
        <x:f>IF(NOT(ISNUMBER(AC159)),"",ABS(LOG10(AC159)-LOG10(X159)))</x:f>
        <x:v>0.05178683972959952</x:v>
      </x:c>
      <x:c r="AI159" s="85" t="str">
        <x:f>IF(OR(NOT(ISNUMBER(Y159)),NOT(ISNUMBER(Z159)),NOT(ISNUMBER(AA159)),NOT(ISNUMBER(AB159))),"",IF(AND(Y159&gt;=0.3,Y159&lt;=1.2,Z159&lt;=200,AA159&gt;=1E-4,AB159&lt;=1E-6),"PASS","FAIL"))</x:f>
        <x:v>PASS</x:v>
      </x:c>
      <x:c r="AJ159" s="85" t="str"/>
    </x:row>
    <x:row r="160">
      <x:c r="A160" s="85" t="str">
        <x:v>L1000-09</x:v>
      </x:c>
      <x:c r="B160" s="85" t="str">
        <x:v>LR144</x:v>
      </x:c>
      <x:c r="C160" s="93" t="n">
        <x:v>1</x:v>
      </x:c>
      <x:c r="D160" s="93" t="str">
        <x:v>Practical</x:v>
      </x:c>
      <x:c r="E160" s="93" t="n">
        <x:v>1</x:v>
      </x:c>
      <x:c r="F160" s="94" t="n">
        <x:v>414269</x:v>
      </x:c>
      <x:c r="G160" s="93" t="n">
        <x:v>0.8749253483151856</x:v>
      </x:c>
      <x:c r="H160" s="93" t="n">
        <x:v>83.492</x:v>
      </x:c>
      <x:c r="I160" s="95" t="n">
        <x:v>0.0001311</x:v>
      </x:c>
      <x:c r="J160" s="95" t="n">
        <x:v>4.2702683769673204e-16</x:v>
      </x:c>
      <x:c r="K160" s="95" t="n">
        <x:v>307006465230.89307</x:v>
      </x:c>
      <x:c r="L160" s="95" t="n">
        <x:v>51503769821650.1</x:v>
      </x:c>
      <x:c r="M160" s="95" t="n">
        <x:v>12.579854900944818</x:v>
      </x:c>
      <x:c r="N160" s="95" t="n">
        <x:v>17431546101493270</x:v>
      </x:c>
      <x:c r="O160" s="95" t="n">
        <x:v>24.34971339346792</x:v>
      </x:c>
      <x:c r="P160" s="93"/>
      <x:c r="Q160" s="95"/>
      <x:c r="R160" s="95"/>
      <x:c r="S160" s="97" t="n">
        <x:v>1</x:v>
      </x:c>
      <x:c r="T160" s="93" t="n">
        <x:v>0.8886200000000036</x:v>
      </x:c>
      <x:c r="U160" s="98" t="n">
        <x:v>84.19308568786587</x:v>
      </x:c>
      <x:c r="V160" s="95" t="n">
        <x:v>0.00013286952441495412</x:v>
      </x:c>
      <x:c r="W160" s="95" t="n">
        <x:v>4.401659614868782e-16</x:v>
      </x:c>
      <x:c r="X160" s="95" t="n">
        <x:v>301862333848.1731</x:v>
      </x:c>
      <x:c r="Y160" s="99" t="n">
        <x:f>IFERROR(IF(ISBLANK(INDEX('Long_TCAD'!$H$2:$H$176,MATCH(B160,'Long_TCAD'!$A$2:$A$176,0))),"",INDEX('Long_TCAD'!$H$2:$H$176,MATCH(B160,'Long_TCAD'!$A$2:$A$176,0))),"")</x:f>
        <x:v>0.888</x:v>
      </x:c>
      <x:c r="Z160" s="100" t="n">
        <x:f>IFERROR(IF(ISBLANK(INDEX('Long_TCAD'!$I$2:$I$176,MATCH(B160,'Long_TCAD'!$A$2:$A$176,0))),"",INDEX('Long_TCAD'!$I$2:$I$176,MATCH(B160,'Long_TCAD'!$A$2:$A$176,0))),"")</x:f>
        <x:v>86.613</x:v>
      </x:c>
      <x:c r="AA160" s="96" t="n">
        <x:f>IFERROR(IF(ISBLANK(INDEX('Long_TCAD'!$J$2:$J$176,MATCH(B160,'Long_TCAD'!$A$2:$A$176,0))),"",INDEX('Long_TCAD'!$J$2:$J$176,MATCH(B160,'Long_TCAD'!$A$2:$A$176,0))),"")</x:f>
        <x:v>0.000138</x:v>
      </x:c>
      <x:c r="AB160" s="96" t="n">
        <x:f>IFERROR(IF(ISBLANK(INDEX('Long_TCAD'!$K$2:$K$176,MATCH(B160,'Long_TCAD'!$A$2:$A$176,0))),"",INDEX('Long_TCAD'!$K$2:$K$176,MATCH(B160,'Long_TCAD'!$A$2:$A$176,0))),"")</x:f>
        <x:v>3.22e-16</x:v>
      </x:c>
      <x:c r="AC160" s="95" t="n">
        <x:f>IF(OR(NOT(ISNUMBER(AA160)),NOT(ISNUMBER(AB160))),"",AA160/AB160)</x:f>
        <x:v>428571428571.4285</x:v>
      </x:c>
      <x:c r="AD160" s="93" t="n">
        <x:f>IF(NOT(ISNUMBER(Y160)),"",ABS(Y160-T160)*1000)</x:f>
        <x:v>0.6200000000036177</x:v>
      </x:c>
      <x:c r="AE160" s="93" t="n">
        <x:f>IF(NOT(ISNUMBER(Z160)),"",ABS(Z160-U160))</x:f>
        <x:v>2.419914312134125</x:v>
      </x:c>
      <x:c r="AF160" s="93" t="n">
        <x:f>IF(NOT(ISNUMBER(AA160)),"",ABS(LOG10(AA160)-LOG10(V160)))</x:f>
        <x:v>0.01645370588112982</x:v>
      </x:c>
      <x:c r="AG160" s="93" t="n">
        <x:f>IF(NOT(ISNUMBER(AB160)),"",ABS(LOG10(AB160)-LOG10(W160)))</x:f>
        <x:v>0.13576058335480035</x:v>
      </x:c>
      <x:c r="AH160" s="93" t="n">
        <x:f>IF(NOT(ISNUMBER(AC160)),"",ABS(LOG10(AC160)-LOG10(X160)))</x:f>
        <x:v>0.15221428923589997</x:v>
      </x:c>
      <x:c r="AI160" s="85" t="str">
        <x:f>IF(OR(NOT(ISNUMBER(Y160)),NOT(ISNUMBER(Z160)),NOT(ISNUMBER(AA160)),NOT(ISNUMBER(AB160))),"",IF(AND(Y160&gt;=0.3,Y160&lt;=1.2,Z160&lt;=200,AA160&gt;=1E-4,AB160&lt;=1E-6),"PASS","FAIL"))</x:f>
        <x:v>PASS</x:v>
      </x:c>
      <x:c r="AJ160" s="85" t="str"/>
    </x:row>
    <x:row r="161">
      <x:c r="A161" s="85" t="str">
        <x:v>L1000-10</x:v>
      </x:c>
      <x:c r="B161" s="85" t="str">
        <x:v>LR145</x:v>
      </x:c>
      <x:c r="C161" s="93" t="n">
        <x:v>1</x:v>
      </x:c>
      <x:c r="D161" s="93" t="str">
        <x:v>Practical</x:v>
      </x:c>
      <x:c r="E161" s="93" t="n">
        <x:v>1</x:v>
      </x:c>
      <x:c r="F161" s="94" t="n">
        <x:v>399032</x:v>
      </x:c>
      <x:c r="G161" s="93" t="n">
        <x:v>0.8691640371740762</x:v>
      </x:c>
      <x:c r="H161" s="93" t="n">
        <x:v>86.85598944840528</x:v>
      </x:c>
      <x:c r="I161" s="95" t="n">
        <x:v>0.0001311</x:v>
      </x:c>
      <x:c r="J161" s="95" t="n">
        <x:v>6.787651270678452e-16</x:v>
      </x:c>
      <x:c r="K161" s="95" t="n">
        <x:v>193144866717.49127</x:v>
      </x:c>
      <x:c r="L161" s="95" t="n">
        <x:v>52843094327787.24</x:v>
      </x:c>
      <x:c r="M161" s="95" t="n">
        <x:v>61.390274117406165</x:v>
      </x:c>
      <x:c r="N161" s="95" t="n">
        <x:v>5445484824305920</x:v>
      </x:c>
      <x:c r="O161" s="95" t="n">
        <x:v>10.505756158090017</x:v>
      </x:c>
      <x:c r="P161" s="93"/>
      <x:c r="Q161" s="95"/>
      <x:c r="R161" s="95"/>
      <x:c r="S161" s="97" t="n">
        <x:v>1</x:v>
      </x:c>
      <x:c r="T161" s="93" t="n">
        <x:v>0.8766433333333349</x:v>
      </x:c>
      <x:c r="U161" s="98" t="n">
        <x:v>86.49145628499824</x:v>
      </x:c>
      <x:c r="V161" s="95" t="n">
        <x:v>0.00012972582645341858</x:v>
      </x:c>
      <x:c r="W161" s="95" t="n">
        <x:v>6.944387931993095e-16</x:v>
      </x:c>
      <x:c r="X161" s="95" t="n">
        <x:v>186806710287.26102</x:v>
      </x:c>
      <x:c r="Y161" s="99" t="n">
        <x:f>IFERROR(IF(ISBLANK(INDEX('Long_TCAD'!$H$2:$H$176,MATCH(B161,'Long_TCAD'!$A$2:$A$176,0))),"",INDEX('Long_TCAD'!$H$2:$H$176,MATCH(B161,'Long_TCAD'!$A$2:$A$176,0))),"")</x:f>
        <x:v>0.881</x:v>
      </x:c>
      <x:c r="Z161" s="100" t="n">
        <x:f>IFERROR(IF(ISBLANK(INDEX('Long_TCAD'!$I$2:$I$176,MATCH(B161,'Long_TCAD'!$A$2:$A$176,0))),"",INDEX('Long_TCAD'!$I$2:$I$176,MATCH(B161,'Long_TCAD'!$A$2:$A$176,0))),"")</x:f>
        <x:v>86.134</x:v>
      </x:c>
      <x:c r="AA161" s="96" t="n">
        <x:f>IFERROR(IF(ISBLANK(INDEX('Long_TCAD'!$J$2:$J$176,MATCH(B161,'Long_TCAD'!$A$2:$A$176,0))),"",INDEX('Long_TCAD'!$J$2:$J$176,MATCH(B161,'Long_TCAD'!$A$2:$A$176,0))),"")</x:f>
        <x:v>0.0001369</x:v>
      </x:c>
      <x:c r="AB161" s="96" t="n">
        <x:f>IFERROR(IF(ISBLANK(INDEX('Long_TCAD'!$K$2:$K$176,MATCH(B161,'Long_TCAD'!$A$2:$A$176,0))),"",INDEX('Long_TCAD'!$K$2:$K$176,MATCH(B161,'Long_TCAD'!$A$2:$A$176,0))),"")</x:f>
        <x:v>6.201e-16</x:v>
      </x:c>
      <x:c r="AC161" s="95" t="n">
        <x:f>IF(OR(NOT(ISNUMBER(AA161)),NOT(ISNUMBER(AB161))),"",AA161/AB161)</x:f>
        <x:v>220770843412.35284</x:v>
      </x:c>
      <x:c r="AD161" s="93" t="n">
        <x:f>IF(NOT(ISNUMBER(Y161)),"",ABS(Y161-T161)*1000)</x:f>
        <x:v>4.356666666665121</x:v>
      </x:c>
      <x:c r="AE161" s="93" t="n">
        <x:f>IF(NOT(ISNUMBER(Z161)),"",ABS(Z161-U161))</x:f>
        <x:v>0.3574562849982357</x:v>
      </x:c>
      <x:c r="AF161" s="93" t="n">
        <x:f>IF(NOT(ISNUMBER(AA161)),"",ABS(LOG10(AA161)-LOG10(V161)))</x:f>
        <x:v>0.023377001967900046</x:v>
      </x:c>
      <x:c r="AG161" s="93" t="n">
        <x:f>IF(NOT(ISNUMBER(AB161)),"",ABS(LOG10(AB161)-LOG10(W161)))</x:f>
        <x:v>0.049172242344800665</x:v>
      </x:c>
      <x:c r="AH161" s="93" t="n">
        <x:f>IF(NOT(ISNUMBER(AC161)),"",ABS(LOG10(AC161)-LOG10(X161)))</x:f>
        <x:v>0.07254924431270027</x:v>
      </x:c>
      <x:c r="AI161" s="85" t="str">
        <x:f>IF(OR(NOT(ISNUMBER(Y161)),NOT(ISNUMBER(Z161)),NOT(ISNUMBER(AA161)),NOT(ISNUMBER(AB161))),"",IF(AND(Y161&gt;=0.3,Y161&lt;=1.2,Z161&lt;=200,AA161&gt;=1E-4,AB161&lt;=1E-6),"PASS","FAIL"))</x:f>
        <x:v>PASS</x:v>
      </x:c>
      <x:c r="AJ161" s="85" t="str"/>
    </x:row>
    <x:row r="162">
      <x:c r="A162" s="85" t="str">
        <x:v>L1000-11</x:v>
      </x:c>
      <x:c r="B162" s="85" t="str">
        <x:v>LR146</x:v>
      </x:c>
      <x:c r="C162" s="93" t="n">
        <x:v>1</x:v>
      </x:c>
      <x:c r="D162" s="93" t="str">
        <x:v>Practical</x:v>
      </x:c>
      <x:c r="E162" s="93" t="n">
        <x:v>1</x:v>
      </x:c>
      <x:c r="F162" s="94" t="n">
        <x:v>407406</x:v>
      </x:c>
      <x:c r="G162" s="93" t="n">
        <x:v>0.887</x:v>
      </x:c>
      <x:c r="H162" s="93" t="n">
        <x:v>94.29217301528999</x:v>
      </x:c>
      <x:c r="I162" s="95" t="n">
        <x:v>0.00015405688465708773</x:v>
      </x:c>
      <x:c r="J162" s="95" t="n">
        <x:v>6.42257071394509e-16</x:v>
      </x:c>
      <x:c r="K162" s="95" t="n">
        <x:v>239867946214.41803</x:v>
      </x:c>
      <x:c r="L162" s="95" t="n">
        <x:v>606064265247986.1</x:v>
      </x:c>
      <x:c r="M162" s="95" t="n">
        <x:v>42.82020093429715</x:v>
      </x:c>
      <x:c r="N162" s="95" t="n">
        <x:v>956839205112995000</x:v>
      </x:c>
      <x:c r="O162" s="95" t="n">
        <x:v>24.760085704668278</x:v>
      </x:c>
      <x:c r="P162" s="93"/>
      <x:c r="Q162" s="95"/>
      <x:c r="R162" s="95"/>
      <x:c r="S162" s="97" t="n">
        <x:v>0.9966666666666667</x:v>
      </x:c>
      <x:c r="T162" s="93" t="n">
        <x:v>0.8849699999999975</x:v>
      </x:c>
      <x:c r="U162" s="98" t="n">
        <x:v>89.72149986047005</x:v>
      </x:c>
      <x:c r="V162" s="95" t="n">
        <x:v>0.00014548202330320312</x:v>
      </x:c>
      <x:c r="W162" s="95" t="n">
        <x:v>5.653863389489735e-16</x:v>
      </x:c>
      <x:c r="X162" s="95" t="n">
        <x:v>257314358839.3864</x:v>
      </x:c>
      <x:c r="Y162" s="99" t="n">
        <x:f>IFERROR(IF(ISBLANK(INDEX('Long_TCAD'!$H$2:$H$176,MATCH(B162,'Long_TCAD'!$A$2:$A$176,0))),"",INDEX('Long_TCAD'!$H$2:$H$176,MATCH(B162,'Long_TCAD'!$A$2:$A$176,0))),"")</x:f>
        <x:v>0.883</x:v>
      </x:c>
      <x:c r="Z162" s="100" t="n">
        <x:f>IFERROR(IF(ISBLANK(INDEX('Long_TCAD'!$I$2:$I$176,MATCH(B162,'Long_TCAD'!$A$2:$A$176,0))),"",INDEX('Long_TCAD'!$I$2:$I$176,MATCH(B162,'Long_TCAD'!$A$2:$A$176,0))),"")</x:f>
        <x:v>86.129</x:v>
      </x:c>
      <x:c r="AA162" s="96" t="n">
        <x:f>IFERROR(IF(ISBLANK(INDEX('Long_TCAD'!$J$2:$J$176,MATCH(B162,'Long_TCAD'!$A$2:$A$176,0))),"",INDEX('Long_TCAD'!$J$2:$J$176,MATCH(B162,'Long_TCAD'!$A$2:$A$176,0))),"")</x:f>
        <x:v>0.0001493</x:v>
      </x:c>
      <x:c r="AB162" s="96" t="n">
        <x:f>IFERROR(IF(ISBLANK(INDEX('Long_TCAD'!$K$2:$K$176,MATCH(B162,'Long_TCAD'!$A$2:$A$176,0))),"",INDEX('Long_TCAD'!$K$2:$K$176,MATCH(B162,'Long_TCAD'!$A$2:$A$176,0))),"")</x:f>
        <x:v>6.154e-16</x:v>
      </x:c>
      <x:c r="AC162" s="95" t="n">
        <x:f>IF(OR(NOT(ISNUMBER(AA162)),NOT(ISNUMBER(AB162))),"",AA162/AB162)</x:f>
        <x:v>242606434839.12903</x:v>
      </x:c>
      <x:c r="AD162" s="93" t="n">
        <x:f>IF(NOT(ISNUMBER(Y162)),"",ABS(Y162-T162)*1000)</x:f>
        <x:v>1.9699999999974738</x:v>
      </x:c>
      <x:c r="AE162" s="93" t="n">
        <x:f>IF(NOT(ISNUMBER(Z162)),"",ABS(Z162-U162))</x:f>
        <x:v>3.592499860470042</x:v>
      </x:c>
      <x:c r="AF162" s="93" t="n">
        <x:f>IF(NOT(ISNUMBER(AA162)),"",ABS(LOG10(AA162)-LOG10(V162)))</x:f>
        <x:v>0.01125047531413026</x:v>
      </x:c>
      <x:c r="AG162" s="93" t="n">
        <x:f>IF(NOT(ISNUMBER(AB162)),"",ABS(LOG10(AB162)-LOG10(W162)))</x:f>
        <x:v>0.03681218119749907</x:v>
      </x:c>
      <x:c r="AH162" s="93" t="n">
        <x:f>IF(NOT(ISNUMBER(AC162)),"",ABS(LOG10(AC162)-LOG10(X162)))</x:f>
        <x:v>0.02556170588340123</x:v>
      </x:c>
      <x:c r="AI162" s="85" t="str">
        <x:f>IF(OR(NOT(ISNUMBER(Y162)),NOT(ISNUMBER(Z162)),NOT(ISNUMBER(AA162)),NOT(ISNUMBER(AB162))),"",IF(AND(Y162&gt;=0.3,Y162&lt;=1.2,Z162&lt;=200,AA162&gt;=1E-4,AB162&lt;=1E-6),"PASS","FAIL"))</x:f>
        <x:v>PASS</x:v>
      </x:c>
      <x:c r="AJ162" s="85" t="str"/>
    </x:row>
    <x:row r="163">
      <x:c r="A163" s="85" t="str">
        <x:v>L1000-12</x:v>
      </x:c>
      <x:c r="B163" s="85" t="str">
        <x:v>LR147</x:v>
      </x:c>
      <x:c r="C163" s="93" t="n">
        <x:v>1</x:v>
      </x:c>
      <x:c r="D163" s="93" t="str">
        <x:v>Practical</x:v>
      </x:c>
      <x:c r="E163" s="93" t="n">
        <x:v>1</x:v>
      </x:c>
      <x:c r="F163" s="94" t="n">
        <x:v>410305</x:v>
      </x:c>
      <x:c r="G163" s="93" t="n">
        <x:v>0.8861801989252212</x:v>
      </x:c>
      <x:c r="H163" s="93" t="n">
        <x:v>85.45016160866172</x:v>
      </x:c>
      <x:c r="I163" s="95" t="n">
        <x:v>0.000155259675910824</x:v>
      </x:c>
      <x:c r="J163" s="95" t="n">
        <x:v>3.7971296562875934e-16</x:v>
      </x:c>
      <x:c r="K163" s="95" t="n">
        <x:v>408886948734.375</x:v>
      </x:c>
      <x:c r="L163" s="95" t="n">
        <x:v>625979199528099.2</x:v>
      </x:c>
      <x:c r="M163" s="95" t="n">
        <x:v>58.12654649486656</x:v>
      </x:c>
      <x:c r="N163" s="95" t="n">
        <x:v>979195349586175700</x:v>
      </x:c>
      <x:c r="O163" s="95" t="n">
        <x:v>11.508146677548611</x:v>
      </x:c>
      <x:c r="P163" s="93"/>
      <x:c r="Q163" s="95"/>
      <x:c r="R163" s="95"/>
      <x:c r="S163" s="97" t="n">
        <x:v>0.9933333333333333</x:v>
      </x:c>
      <x:c r="T163" s="93" t="n">
        <x:v>0.8880433333333351</x:v>
      </x:c>
      <x:c r="U163" s="98" t="n">
        <x:v>86.28866606677342</x:v>
      </x:c>
      <x:c r="V163" s="95" t="n">
        <x:v>0.00014220866660993883</x:v>
      </x:c>
      <x:c r="W163" s="95" t="n">
        <x:v>3.945587887580007e-16</x:v>
      </x:c>
      <x:c r="X163" s="95" t="n">
        <x:v>360424531557.3526</x:v>
      </x:c>
      <x:c r="Y163" s="99" t="n">
        <x:f>IFERROR(IF(ISBLANK(INDEX('Long_TCAD'!$H$2:$H$176,MATCH(B163,'Long_TCAD'!$A$2:$A$176,0))),"",INDEX('Long_TCAD'!$H$2:$H$176,MATCH(B163,'Long_TCAD'!$A$2:$A$176,0))),"")</x:f>
        <x:v>0.885</x:v>
      </x:c>
      <x:c r="Z163" s="100" t="n">
        <x:f>IFERROR(IF(ISBLANK(INDEX('Long_TCAD'!$I$2:$I$176,MATCH(B163,'Long_TCAD'!$A$2:$A$176,0))),"",INDEX('Long_TCAD'!$I$2:$I$176,MATCH(B163,'Long_TCAD'!$A$2:$A$176,0))),"")</x:f>
        <x:v>85.687</x:v>
      </x:c>
      <x:c r="AA163" s="96" t="n">
        <x:f>IFERROR(IF(ISBLANK(INDEX('Long_TCAD'!$J$2:$J$176,MATCH(B163,'Long_TCAD'!$A$2:$A$176,0))),"",INDEX('Long_TCAD'!$J$2:$J$176,MATCH(B163,'Long_TCAD'!$A$2:$A$176,0))),"")</x:f>
        <x:v>0.000143</x:v>
      </x:c>
      <x:c r="AB163" s="96" t="n">
        <x:f>IFERROR(IF(ISBLANK(INDEX('Long_TCAD'!$K$2:$K$176,MATCH(B163,'Long_TCAD'!$A$2:$A$176,0))),"",INDEX('Long_TCAD'!$K$2:$K$176,MATCH(B163,'Long_TCAD'!$A$2:$A$176,0))),"")</x:f>
        <x:v>4.308e-16</x:v>
      </x:c>
      <x:c r="AC163" s="95" t="n">
        <x:f>IF(OR(NOT(ISNUMBER(AA163)),NOT(ISNUMBER(AB163))),"",AA163/AB163)</x:f>
        <x:v>331940575673.1662</x:v>
      </x:c>
      <x:c r="AD163" s="93" t="n">
        <x:f>IF(NOT(ISNUMBER(Y163)),"",ABS(Y163-T163)*1000)</x:f>
        <x:v>3.043333333335063</x:v>
      </x:c>
      <x:c r="AE163" s="93" t="n">
        <x:f>IF(NOT(ISNUMBER(Z163)),"",ABS(Z163-U163))</x:f>
        <x:v>0.6016660667734186</x:v>
      </x:c>
      <x:c r="AF163" s="93" t="n">
        <x:f>IF(NOT(ISNUMBER(AA163)),"",ABS(LOG10(AA163)-LOG10(V163)))</x:f>
        <x:v>0.002409973095359952</x:v>
      </x:c>
      <x:c r="AG163" s="93" t="n">
        <x:f>IF(NOT(ISNUMBER(AB163)),"",ABS(LOG10(AB163)-LOG10(W163)))</x:f>
        <x:v>0.03816397293340046</x:v>
      </x:c>
      <x:c r="AH163" s="93" t="n">
        <x:f>IF(NOT(ISNUMBER(AC163)),"",ABS(LOG10(AC163)-LOG10(X163)))</x:f>
        <x:v>0.035753999838100015</x:v>
      </x:c>
      <x:c r="AI163" s="85" t="str">
        <x:f>IF(OR(NOT(ISNUMBER(Y163)),NOT(ISNUMBER(Z163)),NOT(ISNUMBER(AA163)),NOT(ISNUMBER(AB163))),"",IF(AND(Y163&gt;=0.3,Y163&lt;=1.2,Z163&lt;=200,AA163&gt;=1E-4,AB163&lt;=1E-6),"PASS","FAIL"))</x:f>
        <x:v>PASS</x:v>
      </x:c>
      <x:c r="AJ163" s="85" t="str"/>
    </x:row>
    <x:row r="164">
      <x:c r="A164" s="85" t="str">
        <x:v>L1000-13</x:v>
      </x:c>
      <x:c r="B164" s="85" t="str">
        <x:v>LR148</x:v>
      </x:c>
      <x:c r="C164" s="93" t="n">
        <x:v>1</x:v>
      </x:c>
      <x:c r="D164" s="93" t="str">
        <x:v>Practical</x:v>
      </x:c>
      <x:c r="E164" s="93" t="n">
        <x:v>1</x:v>
      </x:c>
      <x:c r="F164" s="94" t="n">
        <x:v>429306</x:v>
      </x:c>
      <x:c r="G164" s="93" t="n">
        <x:v>0.8797224039442588</x:v>
      </x:c>
      <x:c r="H164" s="93" t="n">
        <x:v>91.55932886521109</x:v>
      </x:c>
      <x:c r="I164" s="95" t="n">
        <x:v>0.0001311</x:v>
      </x:c>
      <x:c r="J164" s="95" t="n">
        <x:v>4.796437735367059e-16</x:v>
      </x:c>
      <x:c r="K164" s="95" t="n">
        <x:v>273327847108.94876</x:v>
      </x:c>
      <x:c r="L164" s="95" t="n">
        <x:v>889774639711088.2</x:v>
      </x:c>
      <x:c r="M164" s="95" t="n">
        <x:v>35.91530053570944</x:v>
      </x:c>
      <x:c r="N164" s="95" t="n">
        <x:v>558494599868316350</x:v>
      </x:c>
      <x:c r="O164" s="95" t="n">
        <x:v>15.646478030521967</x:v>
      </x:c>
      <x:c r="P164" s="93"/>
      <x:c r="Q164" s="95"/>
      <x:c r="R164" s="95"/>
      <x:c r="S164" s="97" t="n">
        <x:v>1</x:v>
      </x:c>
      <x:c r="T164" s="93" t="n">
        <x:v>0.8877733333333354</x:v>
      </x:c>
      <x:c r="U164" s="98" t="n">
        <x:v>91.48866151196489</x:v>
      </x:c>
      <x:c r="V164" s="95" t="n">
        <x:v>0.0001427791017825439</x:v>
      </x:c>
      <x:c r="W164" s="95" t="n">
        <x:v>4.688390936892516e-16</x:v>
      </x:c>
      <x:c r="X164" s="95" t="n">
        <x:v>304537534741.45746</x:v>
      </x:c>
      <x:c r="Y164" s="99" t="n">
        <x:f>IFERROR(IF(ISBLANK(INDEX('Long_TCAD'!$H$2:$H$176,MATCH(B164,'Long_TCAD'!$A$2:$A$176,0))),"",INDEX('Long_TCAD'!$H$2:$H$176,MATCH(B164,'Long_TCAD'!$A$2:$A$176,0))),"")</x:f>
        <x:v>0.888</x:v>
      </x:c>
      <x:c r="Z164" s="100" t="n">
        <x:f>IFERROR(IF(ISBLANK(INDEX('Long_TCAD'!$I$2:$I$176,MATCH(B164,'Long_TCAD'!$A$2:$A$176,0))),"",INDEX('Long_TCAD'!$I$2:$I$176,MATCH(B164,'Long_TCAD'!$A$2:$A$176,0))),"")</x:f>
        <x:v>86.78</x:v>
      </x:c>
      <x:c r="AA164" s="96" t="n">
        <x:f>IFERROR(IF(ISBLANK(INDEX('Long_TCAD'!$J$2:$J$176,MATCH(B164,'Long_TCAD'!$A$2:$A$176,0))),"",INDEX('Long_TCAD'!$J$2:$J$176,MATCH(B164,'Long_TCAD'!$A$2:$A$176,0))),"")</x:f>
        <x:v>0.0001426</x:v>
      </x:c>
      <x:c r="AB164" s="96" t="n">
        <x:f>IFERROR(IF(ISBLANK(INDEX('Long_TCAD'!$K$2:$K$176,MATCH(B164,'Long_TCAD'!$A$2:$A$176,0))),"",INDEX('Long_TCAD'!$K$2:$K$176,MATCH(B164,'Long_TCAD'!$A$2:$A$176,0))),"")</x:f>
        <x:v>3.996e-16</x:v>
      </x:c>
      <x:c r="AC164" s="95" t="n">
        <x:f>IF(OR(NOT(ISNUMBER(AA164)),NOT(ISNUMBER(AB164))),"",AA164/AB164)</x:f>
        <x:v>356856856856.8568</x:v>
      </x:c>
      <x:c r="AD164" s="93" t="n">
        <x:f>IF(NOT(ISNUMBER(Y164)),"",ABS(Y164-T164)*1000)</x:f>
        <x:v>0.2266666666645989</x:v>
      </x:c>
      <x:c r="AE164" s="93" t="n">
        <x:f>IF(NOT(ISNUMBER(Z164)),"",ABS(Z164-U164))</x:f>
        <x:v>4.708661511964891</x:v>
      </x:c>
      <x:c r="AF164" s="93" t="n">
        <x:f>IF(NOT(ISNUMBER(AA164)),"",ABS(LOG10(AA164)-LOG10(V164)))</x:f>
        <x:v>0.0005451199866000067</x:v>
      </x:c>
      <x:c r="AG164" s="93" t="n">
        <x:f>IF(NOT(ISNUMBER(AB164)),"",ABS(LOG10(AB164)-LOG10(W164)))</x:f>
        <x:v>0.06939833818659835</x:v>
      </x:c>
      <x:c r="AH164" s="93" t="n">
        <x:f>IF(NOT(ISNUMBER(AC164)),"",ABS(LOG10(AC164)-LOG10(X164)))</x:f>
        <x:v>0.06885321820000101</x:v>
      </x:c>
      <x:c r="AI164" s="85" t="str">
        <x:f>IF(OR(NOT(ISNUMBER(Y164)),NOT(ISNUMBER(Z164)),NOT(ISNUMBER(AA164)),NOT(ISNUMBER(AB164))),"",IF(AND(Y164&gt;=0.3,Y164&lt;=1.2,Z164&lt;=200,AA164&gt;=1E-4,AB164&lt;=1E-6),"PASS","FAIL"))</x:f>
        <x:v>PASS</x:v>
      </x:c>
      <x:c r="AJ164" s="85" t="str"/>
    </x:row>
    <x:row r="165">
      <x:c r="A165" s="85" t="str">
        <x:v>L1000-14</x:v>
      </x:c>
      <x:c r="B165" s="85" t="str">
        <x:v>LR149</x:v>
      </x:c>
      <x:c r="C165" s="93" t="n">
        <x:v>1</x:v>
      </x:c>
      <x:c r="D165" s="93" t="str">
        <x:v>Practical</x:v>
      </x:c>
      <x:c r="E165" s="93" t="n">
        <x:v>1</x:v>
      </x:c>
      <x:c r="F165" s="94" t="n">
        <x:v>431391</x:v>
      </x:c>
      <x:c r="G165" s="93" t="n">
        <x:v>0.8840168107399067</x:v>
      </x:c>
      <x:c r="H165" s="93" t="n">
        <x:v>87.44348847793655</x:v>
      </x:c>
      <x:c r="I165" s="95" t="n">
        <x:v>0.0001311</x:v>
      </x:c>
      <x:c r="J165" s="95" t="n">
        <x:v>5.115748192328377e-16</x:v>
      </x:c>
      <x:c r="K165" s="95" t="n">
        <x:v>256267500023.94324</x:v>
      </x:c>
      <x:c r="L165" s="95" t="n">
        <x:v>595996260243959.4</x:v>
      </x:c>
      <x:c r="M165" s="95" t="n">
        <x:v>26.355645597080887</x:v>
      </x:c>
      <x:c r="N165" s="95" t="n">
        <x:v>202620037940966.66</x:v>
      </x:c>
      <x:c r="O165" s="95" t="n">
        <x:v>13.218372360350552</x:v>
      </x:c>
      <x:c r="P165" s="93"/>
      <x:c r="Q165" s="95"/>
      <x:c r="R165" s="95"/>
      <x:c r="S165" s="97" t="n">
        <x:v>1</x:v>
      </x:c>
      <x:c r="T165" s="93" t="n">
        <x:v>0.8819400000000024</x:v>
      </x:c>
      <x:c r="U165" s="98" t="n">
        <x:v>86.53767914548834</x:v>
      </x:c>
      <x:c r="V165" s="95" t="n">
        <x:v>0.0001329749663604788</x:v>
      </x:c>
      <x:c r="W165" s="95" t="n">
        <x:v>5.084444884641134e-16</x:v>
      </x:c>
      <x:c r="X165" s="95" t="n">
        <x:v>261532909447.32965</x:v>
      </x:c>
      <x:c r="Y165" s="99" t="n">
        <x:f>IFERROR(IF(ISBLANK(INDEX('Long_TCAD'!$H$2:$H$176,MATCH(B165,'Long_TCAD'!$A$2:$A$176,0))),"",INDEX('Long_TCAD'!$H$2:$H$176,MATCH(B165,'Long_TCAD'!$A$2:$A$176,0))),"")</x:f>
        <x:v>0.886</x:v>
      </x:c>
      <x:c r="Z165" s="100" t="n">
        <x:f>IFERROR(IF(ISBLANK(INDEX('Long_TCAD'!$I$2:$I$176,MATCH(B165,'Long_TCAD'!$A$2:$A$176,0))),"",INDEX('Long_TCAD'!$I$2:$I$176,MATCH(B165,'Long_TCAD'!$A$2:$A$176,0))),"")</x:f>
        <x:v>86.616</x:v>
      </x:c>
      <x:c r="AA165" s="96" t="n">
        <x:f>IFERROR(IF(ISBLANK(INDEX('Long_TCAD'!$J$2:$J$176,MATCH(B165,'Long_TCAD'!$A$2:$A$176,0))),"",INDEX('Long_TCAD'!$J$2:$J$176,MATCH(B165,'Long_TCAD'!$A$2:$A$176,0))),"")</x:f>
        <x:v>0.0001369</x:v>
      </x:c>
      <x:c r="AB165" s="96" t="n">
        <x:f>IFERROR(IF(ISBLANK(INDEX('Long_TCAD'!$K$2:$K$176,MATCH(B165,'Long_TCAD'!$A$2:$A$176,0))),"",INDEX('Long_TCAD'!$K$2:$K$176,MATCH(B165,'Long_TCAD'!$A$2:$A$176,0))),"")</x:f>
        <x:v>4.902e-16</x:v>
      </x:c>
      <x:c r="AC165" s="95" t="n">
        <x:f>IF(OR(NOT(ISNUMBER(AA165)),NOT(ISNUMBER(AB165))),"",AA165/AB165)</x:f>
        <x:v>279273765809.87354</x:v>
      </x:c>
      <x:c r="AD165" s="93" t="n">
        <x:f>IF(NOT(ISNUMBER(Y165)),"",ABS(Y165-T165)*1000)</x:f>
        <x:v>4.059999999997621</x:v>
      </x:c>
      <x:c r="AE165" s="93" t="n">
        <x:f>IF(NOT(ISNUMBER(Z165)),"",ABS(Z165-U165))</x:f>
        <x:v>0.07832085451165938</x:v>
      </x:c>
      <x:c r="AF165" s="93" t="n">
        <x:f>IF(NOT(ISNUMBER(AA165)),"",ABS(LOG10(AA165)-LOG10(V165)))</x:f>
        <x:v>0.012633559007590112</x:v>
      </x:c>
      <x:c r="AG165" s="93" t="n">
        <x:f>IF(NOT(ISNUMBER(AB165)),"",ABS(LOG10(AB165)-LOG10(W165)))</x:f>
        <x:v>0.015870237029499634</x:v>
      </x:c>
      <x:c r="AH165" s="93" t="n">
        <x:f>IF(NOT(ISNUMBER(AC165)),"",ABS(LOG10(AC165)-LOG10(X165)))</x:f>
        <x:v>0.02850379603709996</x:v>
      </x:c>
      <x:c r="AI165" s="85" t="str">
        <x:f>IF(OR(NOT(ISNUMBER(Y165)),NOT(ISNUMBER(Z165)),NOT(ISNUMBER(AA165)),NOT(ISNUMBER(AB165))),"",IF(AND(Y165&gt;=0.3,Y165&lt;=1.2,Z165&lt;=200,AA165&gt;=1E-4,AB165&lt;=1E-6),"PASS","FAIL"))</x:f>
        <x:v>PASS</x:v>
      </x:c>
      <x:c r="AJ165" s="85" t="str"/>
    </x:row>
    <x:row r="166">
      <x:c r="A166" s="85" t="str">
        <x:v>L1000-15</x:v>
      </x:c>
      <x:c r="B166" s="85" t="str">
        <x:v>LR146</x:v>
      </x:c>
      <x:c r="C166" s="93" t="n">
        <x:v>1</x:v>
      </x:c>
      <x:c r="D166" s="93" t="str">
        <x:v>Practical</x:v>
      </x:c>
      <x:c r="E166" s="93" t="n">
        <x:v>1</x:v>
      </x:c>
      <x:c r="F166" s="94" t="n">
        <x:v>432317</x:v>
      </x:c>
      <x:c r="G166" s="93" t="n">
        <x:v>0.8712451150708529</x:v>
      </x:c>
      <x:c r="H166" s="93" t="n">
        <x:v>92.13883554763969</x:v>
      </x:c>
      <x:c r="I166" s="95" t="n">
        <x:v>0.0001311</x:v>
      </x:c>
      <x:c r="J166" s="95" t="n">
        <x:v>5.746313230832902e-16</x:v>
      </x:c>
      <x:c r="K166" s="95" t="n">
        <x:v>228146282205.01242</x:v>
      </x:c>
      <x:c r="L166" s="95" t="n">
        <x:v>606064265247986.1</x:v>
      </x:c>
      <x:c r="M166" s="95" t="n">
        <x:v>42.82020093429715</x:v>
      </x:c>
      <x:c r="N166" s="95" t="n">
        <x:v>956839205112995000</x:v>
      </x:c>
      <x:c r="O166" s="95" t="n">
        <x:v>24.760085704668278</x:v>
      </x:c>
      <x:c r="P166" s="93"/>
      <x:c r="Q166" s="95"/>
      <x:c r="R166" s="95"/>
      <x:c r="S166" s="97" t="n">
        <x:v>0.9966666666666667</x:v>
      </x:c>
      <x:c r="T166" s="93" t="n">
        <x:v>0.8849699999999975</x:v>
      </x:c>
      <x:c r="U166" s="98" t="n">
        <x:v>89.72149986047005</x:v>
      </x:c>
      <x:c r="V166" s="95" t="n">
        <x:v>0.00014548202330320312</x:v>
      </x:c>
      <x:c r="W166" s="95" t="n">
        <x:v>5.653863389489735e-16</x:v>
      </x:c>
      <x:c r="X166" s="95" t="n">
        <x:v>257314358839.3864</x:v>
      </x:c>
      <x:c r="Y166" s="99" t="n">
        <x:f>IFERROR(IF(ISBLANK(INDEX('Long_TCAD'!$H$2:$H$176,MATCH(B166,'Long_TCAD'!$A$2:$A$176,0))),"",INDEX('Long_TCAD'!$H$2:$H$176,MATCH(B166,'Long_TCAD'!$A$2:$A$176,0))),"")</x:f>
        <x:v>0.883</x:v>
      </x:c>
      <x:c r="Z166" s="100" t="n">
        <x:f>IFERROR(IF(ISBLANK(INDEX('Long_TCAD'!$I$2:$I$176,MATCH(B166,'Long_TCAD'!$A$2:$A$176,0))),"",INDEX('Long_TCAD'!$I$2:$I$176,MATCH(B166,'Long_TCAD'!$A$2:$A$176,0))),"")</x:f>
        <x:v>86.129</x:v>
      </x:c>
      <x:c r="AA166" s="96" t="n">
        <x:f>IFERROR(IF(ISBLANK(INDEX('Long_TCAD'!$J$2:$J$176,MATCH(B166,'Long_TCAD'!$A$2:$A$176,0))),"",INDEX('Long_TCAD'!$J$2:$J$176,MATCH(B166,'Long_TCAD'!$A$2:$A$176,0))),"")</x:f>
        <x:v>0.0001493</x:v>
      </x:c>
      <x:c r="AB166" s="96" t="n">
        <x:f>IFERROR(IF(ISBLANK(INDEX('Long_TCAD'!$K$2:$K$176,MATCH(B166,'Long_TCAD'!$A$2:$A$176,0))),"",INDEX('Long_TCAD'!$K$2:$K$176,MATCH(B166,'Long_TCAD'!$A$2:$A$176,0))),"")</x:f>
        <x:v>6.154e-16</x:v>
      </x:c>
      <x:c r="AC166" s="95" t="n">
        <x:f>IF(OR(NOT(ISNUMBER(AA166)),NOT(ISNUMBER(AB166))),"",AA166/AB166)</x:f>
        <x:v>242606434839.12903</x:v>
      </x:c>
      <x:c r="AD166" s="93" t="n">
        <x:f>IF(NOT(ISNUMBER(Y166)),"",ABS(Y166-T166)*1000)</x:f>
        <x:v>1.9699999999974738</x:v>
      </x:c>
      <x:c r="AE166" s="93" t="n">
        <x:f>IF(NOT(ISNUMBER(Z166)),"",ABS(Z166-U166))</x:f>
        <x:v>3.592499860470042</x:v>
      </x:c>
      <x:c r="AF166" s="93" t="n">
        <x:f>IF(NOT(ISNUMBER(AA166)),"",ABS(LOG10(AA166)-LOG10(V166)))</x:f>
        <x:v>0.01125047531413026</x:v>
      </x:c>
      <x:c r="AG166" s="93" t="n">
        <x:f>IF(NOT(ISNUMBER(AB166)),"",ABS(LOG10(AB166)-LOG10(W166)))</x:f>
        <x:v>0.03681218119749907</x:v>
      </x:c>
      <x:c r="AH166" s="93" t="n">
        <x:f>IF(NOT(ISNUMBER(AC166)),"",ABS(LOG10(AC166)-LOG10(X166)))</x:f>
        <x:v>0.02556170588340123</x:v>
      </x:c>
      <x:c r="AI166" s="85" t="str">
        <x:f>IF(OR(NOT(ISNUMBER(Y166)),NOT(ISNUMBER(Z166)),NOT(ISNUMBER(AA166)),NOT(ISNUMBER(AB166))),"",IF(AND(Y166&gt;=0.3,Y166&lt;=1.2,Z166&lt;=200,AA166&gt;=1E-4,AB166&lt;=1E-6),"PASS","FAIL"))</x:f>
        <x:v>PASS</x:v>
      </x:c>
      <x:c r="AJ166" s="85" t="str"/>
    </x:row>
    <x:row r="167">
      <x:c r="A167" s="85" t="str">
        <x:v>L1000-16</x:v>
      </x:c>
      <x:c r="B167" s="85" t="str">
        <x:v>LR150</x:v>
      </x:c>
      <x:c r="C167" s="93" t="n">
        <x:v>1</x:v>
      </x:c>
      <x:c r="D167" s="93" t="str">
        <x:v>Practical</x:v>
      </x:c>
      <x:c r="E167" s="93" t="n">
        <x:v>1</x:v>
      </x:c>
      <x:c r="F167" s="94" t="n">
        <x:v>413545</x:v>
      </x:c>
      <x:c r="G167" s="93" t="n">
        <x:v>0.887</x:v>
      </x:c>
      <x:c r="H167" s="93" t="n">
        <x:v>83.492</x:v>
      </x:c>
      <x:c r="I167" s="95" t="n">
        <x:v>0.0001311</x:v>
      </x:c>
      <x:c r="J167" s="95" t="n">
        <x:v>4.0911970923280366e-16</x:v>
      </x:c>
      <x:c r="K167" s="95" t="n">
        <x:v>320444107290.3663</x:v>
      </x:c>
      <x:c r="L167" s="95" t="n">
        <x:v>115729499215524.73</x:v>
      </x:c>
      <x:c r="M167" s="95" t="n">
        <x:v>21.463405916203765</x:v>
      </x:c>
      <x:c r="N167" s="95" t="n">
        <x:v>221732604222709.5</x:v>
      </x:c>
      <x:c r="O167" s="95" t="n">
        <x:v>31.280420748976795</x:v>
      </x:c>
      <x:c r="P167" s="93"/>
      <x:c r="Q167" s="95"/>
      <x:c r="R167" s="95"/>
      <x:c r="S167" s="97" t="n">
        <x:v>1</x:v>
      </x:c>
      <x:c r="T167" s="93" t="n">
        <x:v>0.8838566666666623</x:v>
      </x:c>
      <x:c r="U167" s="98" t="n">
        <x:v>86.12299801047382</x:v>
      </x:c>
      <x:c r="V167" s="95" t="n">
        <x:v>0.0001304586322993588</x:v>
      </x:c>
      <x:c r="W167" s="95" t="n">
        <x:v>4.18691409358414e-16</x:v>
      </x:c>
      <x:c r="X167" s="95" t="n">
        <x:v>311586599064.1375</x:v>
      </x:c>
      <x:c r="Y167" s="99" t="n">
        <x:f>IFERROR(IF(ISBLANK(INDEX('Long_TCAD'!$H$2:$H$176,MATCH(B167,'Long_TCAD'!$A$2:$A$176,0))),"",INDEX('Long_TCAD'!$H$2:$H$176,MATCH(B167,'Long_TCAD'!$A$2:$A$176,0))),"")</x:f>
        <x:v>0.884</x:v>
      </x:c>
      <x:c r="Z167" s="100" t="n">
        <x:f>IFERROR(IF(ISBLANK(INDEX('Long_TCAD'!$I$2:$I$176,MATCH(B167,'Long_TCAD'!$A$2:$A$176,0))),"",INDEX('Long_TCAD'!$I$2:$I$176,MATCH(B167,'Long_TCAD'!$A$2:$A$176,0))),"")</x:f>
        <x:v>86.514</x:v>
      </x:c>
      <x:c r="AA167" s="96" t="n">
        <x:f>IFERROR(IF(ISBLANK(INDEX('Long_TCAD'!$J$2:$J$176,MATCH(B167,'Long_TCAD'!$A$2:$A$176,0))),"",INDEX('Long_TCAD'!$J$2:$J$176,MATCH(B167,'Long_TCAD'!$A$2:$A$176,0))),"")</x:f>
        <x:v>0.000133</x:v>
      </x:c>
      <x:c r="AB167" s="96" t="n">
        <x:f>IFERROR(IF(ISBLANK(INDEX('Long_TCAD'!$K$2:$K$176,MATCH(B167,'Long_TCAD'!$A$2:$A$176,0))),"",INDEX('Long_TCAD'!$K$2:$K$176,MATCH(B167,'Long_TCAD'!$A$2:$A$176,0))),"")</x:f>
        <x:v>3.25e-16</x:v>
      </x:c>
      <x:c r="AC167" s="95" t="n">
        <x:f>IF(OR(NOT(ISNUMBER(AA167)),NOT(ISNUMBER(AB167))),"",AA167/AB167)</x:f>
        <x:v>409230769230.7692</x:v>
      </x:c>
      <x:c r="AD167" s="93" t="n">
        <x:f>IF(NOT(ISNUMBER(Y167)),"",ABS(Y167-T167)*1000)</x:f>
        <x:v>0.14333333333771403</x:v>
      </x:c>
      <x:c r="AE167" s="93" t="n">
        <x:f>IF(NOT(ISNUMBER(Z167)),"",ABS(Z167-U167))</x:f>
        <x:v>0.39100198952617404</x:v>
      </x:c>
      <x:c r="AF167" s="93" t="n">
        <x:f>IF(NOT(ISNUMBER(AA167)),"",ABS(LOG10(AA167)-LOG10(V167)))</x:f>
        <x:v>0.008378819808019689</x:v>
      </x:c>
      <x:c r="AG167" s="93" t="n">
        <x:f>IF(NOT(ISNUMBER(AB167)),"",ABS(LOG10(AB167)-LOG10(W167)))</x:f>
        <x:v>0.11001068922089985</x:v>
      </x:c>
      <x:c r="AH167" s="93" t="n">
        <x:f>IF(NOT(ISNUMBER(AC167)),"",ABS(LOG10(AC167)-LOG10(X167)))</x:f>
        <x:v>0.11838950902890133</x:v>
      </x:c>
      <x:c r="AI167" s="85" t="str">
        <x:f>IF(OR(NOT(ISNUMBER(Y167)),NOT(ISNUMBER(Z167)),NOT(ISNUMBER(AA167)),NOT(ISNUMBER(AB167))),"",IF(AND(Y167&gt;=0.3,Y167&lt;=1.2,Z167&lt;=200,AA167&gt;=1E-4,AB167&lt;=1E-6),"PASS","FAIL"))</x:f>
        <x:v>PASS</x:v>
      </x:c>
      <x:c r="AJ167" s="85" t="str"/>
    </x:row>
    <x:row r="168">
      <x:c r="A168" s="85" t="str">
        <x:v>L1000-17</x:v>
      </x:c>
      <x:c r="B168" s="85" t="str">
        <x:v>LR151</x:v>
      </x:c>
      <x:c r="C168" s="93" t="n">
        <x:v>1</x:v>
      </x:c>
      <x:c r="D168" s="93" t="str">
        <x:v>Practical</x:v>
      </x:c>
      <x:c r="E168" s="93" t="n">
        <x:v>1</x:v>
      </x:c>
      <x:c r="F168" s="94" t="n">
        <x:v>408428</x:v>
      </x:c>
      <x:c r="G168" s="93" t="n">
        <x:v>0.8841716608233184</x:v>
      </x:c>
      <x:c r="H168" s="93" t="n">
        <x:v>90.25533447914341</x:v>
      </x:c>
      <x:c r="I168" s="95" t="n">
        <x:v>0.00013270424043678564</x:v>
      </x:c>
      <x:c r="J168" s="95" t="n">
        <x:v>6.42541754812153e-16</x:v>
      </x:c>
      <x:c r="K168" s="95" t="n">
        <x:v>206530142894.10922</x:v>
      </x:c>
      <x:c r="L168" s="95" t="n">
        <x:v>550522666646930.94</x:v>
      </x:c>
      <x:c r="M168" s="95" t="n">
        <x:v>59.79675483358328</x:v>
      </x:c>
      <x:c r="N168" s="95" t="n">
        <x:v>491256803204400.06</x:v>
      </x:c>
      <x:c r="O168" s="95" t="n">
        <x:v>23.377610729851853</x:v>
      </x:c>
      <x:c r="P168" s="93"/>
      <x:c r="Q168" s="95"/>
      <x:c r="R168" s="95"/>
      <x:c r="S168" s="97" t="n">
        <x:v>0.88</x:v>
      </x:c>
      <x:c r="T168" s="93" t="n">
        <x:v>0.8791233333333306</x:v>
      </x:c>
      <x:c r="U168" s="98" t="n">
        <x:v>87.02241661196175</x:v>
      </x:c>
      <x:c r="V168" s="95" t="n">
        <x:v>0.00013510212270223364</x:v>
      </x:c>
      <x:c r="W168" s="95" t="n">
        <x:v>6.511184394523938e-16</x:v>
      </x:c>
      <x:c r="X168" s="95" t="n">
        <x:v>207492392345.48135</x:v>
      </x:c>
      <x:c r="Y168" s="99" t="n">
        <x:f>IFERROR(IF(ISBLANK(INDEX('Long_TCAD'!$H$2:$H$176,MATCH(B168,'Long_TCAD'!$A$2:$A$176,0))),"",INDEX('Long_TCAD'!$H$2:$H$176,MATCH(B168,'Long_TCAD'!$A$2:$A$176,0))),"")</x:f>
        <x:v>0.879</x:v>
      </x:c>
      <x:c r="Z168" s="100" t="n">
        <x:f>IFERROR(IF(ISBLANK(INDEX('Long_TCAD'!$I$2:$I$176,MATCH(B168,'Long_TCAD'!$A$2:$A$176,0))),"",INDEX('Long_TCAD'!$I$2:$I$176,MATCH(B168,'Long_TCAD'!$A$2:$A$176,0))),"")</x:f>
        <x:v>85.973</x:v>
      </x:c>
      <x:c r="AA168" s="96" t="n">
        <x:f>IFERROR(IF(ISBLANK(INDEX('Long_TCAD'!$J$2:$J$176,MATCH(B168,'Long_TCAD'!$A$2:$A$176,0))),"",INDEX('Long_TCAD'!$J$2:$J$176,MATCH(B168,'Long_TCAD'!$A$2:$A$176,0))),"")</x:f>
        <x:v>0.000141</x:v>
      </x:c>
      <x:c r="AB168" s="96" t="n">
        <x:f>IFERROR(IF(ISBLANK(INDEX('Long_TCAD'!$K$2:$K$176,MATCH(B168,'Long_TCAD'!$A$2:$A$176,0))),"",INDEX('Long_TCAD'!$K$2:$K$176,MATCH(B168,'Long_TCAD'!$A$2:$A$176,0))),"")</x:f>
        <x:v>6.481e-16</x:v>
      </x:c>
      <x:c r="AC168" s="95" t="n">
        <x:f>IF(OR(NOT(ISNUMBER(AA168)),NOT(ISNUMBER(AB168))),"",AA168/AB168)</x:f>
        <x:v>217559018669.95834</x:v>
      </x:c>
      <x:c r="AD168" s="93" t="n">
        <x:f>IF(NOT(ISNUMBER(Y168)),"",ABS(Y168-T168)*1000)</x:f>
        <x:v>0.1233333333305886</x:v>
      </x:c>
      <x:c r="AE168" s="93" t="n">
        <x:f>IF(NOT(ISNUMBER(Z168)),"",ABS(Z168-U168))</x:f>
        <x:v>1.049416611961746</x:v>
      </x:c>
      <x:c r="AF168" s="93" t="n">
        <x:f>IF(NOT(ISNUMBER(AA168)),"",ABS(LOG10(AA168)-LOG10(V168)))</x:f>
        <x:v>0.01855694001659014</x:v>
      </x:c>
      <x:c r="AG168" s="93" t="n">
        <x:f>IF(NOT(ISNUMBER(AB168)),"",ABS(LOG10(AB168)-LOG10(W168)))</x:f>
        <x:v>0.0020179731396012812</x:v>
      </x:c>
      <x:c r="AH168" s="93" t="n">
        <x:f>IF(NOT(ISNUMBER(AC168)),"",ABS(LOG10(AC168)-LOG10(X168)))</x:f>
        <x:v>0.020574913156199415</x:v>
      </x:c>
      <x:c r="AI168" s="85" t="str">
        <x:f>IF(OR(NOT(ISNUMBER(Y168)),NOT(ISNUMBER(Z168)),NOT(ISNUMBER(AA168)),NOT(ISNUMBER(AB168))),"",IF(AND(Y168&gt;=0.3,Y168&lt;=1.2,Z168&lt;=200,AA168&gt;=1E-4,AB168&lt;=1E-6),"PASS","FAIL"))</x:f>
        <x:v>PASS</x:v>
      </x:c>
      <x:c r="AJ168" s="85" t="str"/>
    </x:row>
    <x:row r="169">
      <x:c r="A169" s="85" t="str">
        <x:v>L1000-18</x:v>
      </x:c>
      <x:c r="B169" s="85" t="str">
        <x:v>LR152</x:v>
      </x:c>
      <x:c r="C169" s="93" t="n">
        <x:v>1</x:v>
      </x:c>
      <x:c r="D169" s="93" t="str">
        <x:v>Practical</x:v>
      </x:c>
      <x:c r="E169" s="93" t="n">
        <x:v>1</x:v>
      </x:c>
      <x:c r="F169" s="94" t="n">
        <x:v>407954</x:v>
      </x:c>
      <x:c r="G169" s="93" t="n">
        <x:v>0.8794452162342798</x:v>
      </x:c>
      <x:c r="H169" s="93" t="n">
        <x:v>87.52214350351959</x:v>
      </x:c>
      <x:c r="I169" s="95" t="n">
        <x:v>0.00014731406979135686</x:v>
      </x:c>
      <x:c r="J169" s="95" t="n">
        <x:v>6.386755569817673e-16</x:v>
      </x:c>
      <x:c r="K169" s="95" t="n">
        <x:v>230655562407.19315</x:v>
      </x:c>
      <x:c r="L169" s="95" t="n">
        <x:v>505380284210844.7</x:v>
      </x:c>
      <x:c r="M169" s="95" t="n">
        <x:v>52.572794225732565</x:v>
      </x:c>
      <x:c r="N169" s="95" t="n">
        <x:v>5114604874572369</x:v>
      </x:c>
      <x:c r="O169" s="95" t="n">
        <x:v>13.864003576985002</x:v>
      </x:c>
      <x:c r="P169" s="93"/>
      <x:c r="Q169" s="95"/>
      <x:c r="R169" s="95"/>
      <x:c r="S169" s="97" t="n">
        <x:v>1</x:v>
      </x:c>
      <x:c r="T169" s="93" t="n">
        <x:v>0.8832833333333351</x:v>
      </x:c>
      <x:c r="U169" s="98" t="n">
        <x:v>87.08400017285481</x:v>
      </x:c>
      <x:c r="V169" s="95" t="n">
        <x:v>0.00013824107616103895</x:v>
      </x:c>
      <x:c r="W169" s="95" t="n">
        <x:v>6.340957319701594e-16</x:v>
      </x:c>
      <x:c r="X169" s="95" t="n">
        <x:v>218012942196.4704</x:v>
      </x:c>
      <x:c r="Y169" s="99" t="n">
        <x:f>IFERROR(IF(ISBLANK(INDEX('Long_TCAD'!$H$2:$H$176,MATCH(B169,'Long_TCAD'!$A$2:$A$176,0))),"",INDEX('Long_TCAD'!$H$2:$H$176,MATCH(B169,'Long_TCAD'!$A$2:$A$176,0))),"")</x:f>
        <x:v>0.885</x:v>
      </x:c>
      <x:c r="Z169" s="100" t="n">
        <x:f>IFERROR(IF(ISBLANK(INDEX('Long_TCAD'!$I$2:$I$176,MATCH(B169,'Long_TCAD'!$A$2:$A$176,0))),"",INDEX('Long_TCAD'!$I$2:$I$176,MATCH(B169,'Long_TCAD'!$A$2:$A$176,0))),"")</x:f>
        <x:v>86.806</x:v>
      </x:c>
      <x:c r="AA169" s="96" t="n">
        <x:f>IFERROR(IF(ISBLANK(INDEX('Long_TCAD'!$J$2:$J$176,MATCH(B169,'Long_TCAD'!$A$2:$A$176,0))),"",INDEX('Long_TCAD'!$J$2:$J$176,MATCH(B169,'Long_TCAD'!$A$2:$A$176,0))),"")</x:f>
        <x:v>0.0001412</x:v>
      </x:c>
      <x:c r="AB169" s="96" t="n">
        <x:f>IFERROR(IF(ISBLANK(INDEX('Long_TCAD'!$K$2:$K$176,MATCH(B169,'Long_TCAD'!$A$2:$A$176,0))),"",INDEX('Long_TCAD'!$K$2:$K$176,MATCH(B169,'Long_TCAD'!$A$2:$A$176,0))),"")</x:f>
        <x:v>6.474e-16</x:v>
      </x:c>
      <x:c r="AC169" s="95" t="n">
        <x:f>IF(OR(NOT(ISNUMBER(AA169)),NOT(ISNUMBER(AB169))),"",AA169/AB169)</x:f>
        <x:v>218103181958.6036</x:v>
      </x:c>
      <x:c r="AD169" s="93" t="n">
        <x:f>IF(NOT(ISNUMBER(Y169)),"",ABS(Y169-T169)*1000)</x:f>
        <x:v>1.7166666666649233</x:v>
      </x:c>
      <x:c r="AE169" s="93" t="n">
        <x:f>IF(NOT(ISNUMBER(Z169)),"",ABS(Z169-U169))</x:f>
        <x:v>0.27800017285481715</x:v>
      </x:c>
      <x:c r="AF169" s="93" t="n">
        <x:f>IF(NOT(ISNUMBER(AA169)),"",ABS(LOG10(AA169)-LOG10(V169)))</x:f>
        <x:v>0.0091975907289501</x:v>
      </x:c>
      <x:c r="AG169" s="93" t="n">
        <x:f>IF(NOT(ISNUMBER(AB169)),"",ABS(LOG10(AB169)-LOG10(W169)))</x:f>
        <x:v>0.009017865059000485</x:v>
      </x:c>
      <x:c r="AH169" s="93" t="n">
        <x:f>IF(NOT(ISNUMBER(AC169)),"",ABS(LOG10(AC169)-LOG10(X169)))</x:f>
        <x:v>0.00017972566999979733</x:v>
      </x:c>
      <x:c r="AI169" s="85" t="str">
        <x:f>IF(OR(NOT(ISNUMBER(Y169)),NOT(ISNUMBER(Z169)),NOT(ISNUMBER(AA169)),NOT(ISNUMBER(AB169))),"",IF(AND(Y169&gt;=0.3,Y169&lt;=1.2,Z169&lt;=200,AA169&gt;=1E-4,AB169&lt;=1E-6),"PASS","FAIL"))</x:f>
        <x:v>PASS</x:v>
      </x:c>
      <x:c r="AJ169" s="85" t="str"/>
    </x:row>
    <x:row r="170">
      <x:c r="A170" s="85" t="str">
        <x:v>L1000-19</x:v>
      </x:c>
      <x:c r="B170" s="85" t="str">
        <x:v>LR153</x:v>
      </x:c>
      <x:c r="C170" s="93" t="n">
        <x:v>1</x:v>
      </x:c>
      <x:c r="D170" s="93" t="str">
        <x:v>Practical</x:v>
      </x:c>
      <x:c r="E170" s="93" t="n">
        <x:v>1</x:v>
      </x:c>
      <x:c r="F170" s="94" t="n">
        <x:v>427396</x:v>
      </x:c>
      <x:c r="G170" s="93" t="n">
        <x:v>0.8857366524875814</x:v>
      </x:c>
      <x:c r="H170" s="93" t="n">
        <x:v>87.6919589298559</x:v>
      </x:c>
      <x:c r="I170" s="95" t="n">
        <x:v>0.0001311</x:v>
      </x:c>
      <x:c r="J170" s="95" t="n">
        <x:v>4.687138715821297e-16</x:v>
      </x:c>
      <x:c r="K170" s="95" t="n">
        <x:v>279701557706.1456</x:v>
      </x:c>
      <x:c r="L170" s="95" t="n">
        <x:v>599608606635486.6</x:v>
      </x:c>
      <x:c r="M170" s="95" t="n">
        <x:v>33.556221781064</x:v>
      </x:c>
      <x:c r="N170" s="95" t="n">
        <x:v>509141010465448.7</x:v>
      </x:c>
      <x:c r="O170" s="95" t="n">
        <x:v>23.331382905864086</x:v>
      </x:c>
      <x:c r="P170" s="93"/>
      <x:c r="Q170" s="95"/>
      <x:c r="R170" s="95"/>
      <x:c r="S170" s="97" t="n">
        <x:v>0.9733333333333334</x:v>
      </x:c>
      <x:c r="T170" s="93" t="n">
        <x:v>0.8821766666666696</x:v>
      </x:c>
      <x:c r="U170" s="98" t="n">
        <x:v>86.48866562292957</x:v>
      </x:c>
      <x:c r="V170" s="95" t="n">
        <x:v>0.00013314333820181113</x:v>
      </x:c>
      <x:c r="W170" s="95" t="n">
        <x:v>4.724594848968232e-16</x:v>
      </x:c>
      <x:c r="X170" s="95" t="n">
        <x:v>281809006820.73785</x:v>
      </x:c>
      <x:c r="Y170" s="99" t="n">
        <x:f>IFERROR(IF(ISBLANK(INDEX('Long_TCAD'!$H$2:$H$176,MATCH(B170,'Long_TCAD'!$A$2:$A$176,0))),"",INDEX('Long_TCAD'!$H$2:$H$176,MATCH(B170,'Long_TCAD'!$A$2:$A$176,0))),"")</x:f>
        <x:v>0.886</x:v>
      </x:c>
      <x:c r="Z170" s="100" t="n">
        <x:f>IFERROR(IF(ISBLANK(INDEX('Long_TCAD'!$I$2:$I$176,MATCH(B170,'Long_TCAD'!$A$2:$A$176,0))),"",INDEX('Long_TCAD'!$I$2:$I$176,MATCH(B170,'Long_TCAD'!$A$2:$A$176,0))),"")</x:f>
        <x:v>86.993</x:v>
      </x:c>
      <x:c r="AA170" s="96" t="n">
        <x:f>IFERROR(IF(ISBLANK(INDEX('Long_TCAD'!$J$2:$J$176,MATCH(B170,'Long_TCAD'!$A$2:$A$176,0))),"",INDEX('Long_TCAD'!$J$2:$J$176,MATCH(B170,'Long_TCAD'!$A$2:$A$176,0))),"")</x:f>
        <x:v>0.0001386</x:v>
      </x:c>
      <x:c r="AB170" s="96" t="n">
        <x:f>IFERROR(IF(ISBLANK(INDEX('Long_TCAD'!$K$2:$K$176,MATCH(B170,'Long_TCAD'!$A$2:$A$176,0))),"",INDEX('Long_TCAD'!$K$2:$K$176,MATCH(B170,'Long_TCAD'!$A$2:$A$176,0))),"")</x:f>
        <x:v>4.497e-16</x:v>
      </x:c>
      <x:c r="AC170" s="95" t="n">
        <x:f>IF(OR(NOT(ISNUMBER(AA170)),NOT(ISNUMBER(AB170))),"",AA170/AB170)</x:f>
        <x:v>308205470313.54236</x:v>
      </x:c>
      <x:c r="AD170" s="93" t="n">
        <x:f>IF(NOT(ISNUMBER(Y170)),"",ABS(Y170-T170)*1000)</x:f>
        <x:v>3.823333333330403</x:v>
      </x:c>
      <x:c r="AE170" s="93" t="n">
        <x:f>IF(NOT(ISNUMBER(Z170)),"",ABS(Z170-U170))</x:f>
        <x:v>0.5043343770704212</x:v>
      </x:c>
      <x:c r="AF170" s="93" t="n">
        <x:f>IF(NOT(ISNUMBER(AA170)),"",ABS(LOG10(AA170)-LOG10(V170)))</x:f>
        <x:v>0.017443788787890213</x:v>
      </x:c>
      <x:c r="AG170" s="93" t="n">
        <x:f>IF(NOT(ISNUMBER(AB170)),"",ABS(LOG10(AB170)-LOG10(W170)))</x:f>
        <x:v>0.02144168455749984</x:v>
      </x:c>
      <x:c r="AH170" s="93" t="n">
        <x:f>IF(NOT(ISNUMBER(AC170)),"",ABS(LOG10(AC170)-LOG10(X170)))</x:f>
        <x:v>0.03888547334529946</x:v>
      </x:c>
      <x:c r="AI170" s="85" t="str">
        <x:f>IF(OR(NOT(ISNUMBER(Y170)),NOT(ISNUMBER(Z170)),NOT(ISNUMBER(AA170)),NOT(ISNUMBER(AB170))),"",IF(AND(Y170&gt;=0.3,Y170&lt;=1.2,Z170&lt;=200,AA170&gt;=1E-4,AB170&lt;=1E-6),"PASS","FAIL"))</x:f>
        <x:v>PASS</x:v>
      </x:c>
      <x:c r="AJ170" s="85" t="str"/>
    </x:row>
    <x:row r="171">
      <x:c r="A171" s="85" t="str">
        <x:v>L1000-20</x:v>
      </x:c>
      <x:c r="B171" s="85" t="str">
        <x:v>LR154</x:v>
      </x:c>
      <x:c r="C171" s="93" t="n">
        <x:v>1</x:v>
      </x:c>
      <x:c r="D171" s="93" t="str">
        <x:v>Practical</x:v>
      </x:c>
      <x:c r="E171" s="93" t="n">
        <x:v>1</x:v>
      </x:c>
      <x:c r="F171" s="94" t="n">
        <x:v>412459</x:v>
      </x:c>
      <x:c r="G171" s="93" t="n">
        <x:v>0.8734181072008884</x:v>
      </x:c>
      <x:c r="H171" s="93" t="n">
        <x:v>83.492</x:v>
      </x:c>
      <x:c r="I171" s="95" t="n">
        <x:v>0.0001311</x:v>
      </x:c>
      <x:c r="J171" s="95" t="n">
        <x:v>3.8049895255576464e-16</x:v>
      </x:c>
      <x:c r="K171" s="95" t="n">
        <x:v>344547597619.9604</x:v>
      </x:c>
      <x:c r="L171" s="95" t="n">
        <x:v>37542225670775.35</x:v>
      </x:c>
      <x:c r="M171" s="95" t="n">
        <x:v>12.813752512980624</x:v>
      </x:c>
      <x:c r="N171" s="95" t="n">
        <x:v>682700525103471.9</x:v>
      </x:c>
      <x:c r="O171" s="95" t="n">
        <x:v>15.084399975014252</x:v>
      </x:c>
      <x:c r="P171" s="93"/>
      <x:c r="Q171" s="95"/>
      <x:c r="R171" s="95"/>
      <x:c r="S171" s="97" t="n">
        <x:v>1</x:v>
      </x:c>
      <x:c r="T171" s="93" t="n">
        <x:v>0.8859033333333315</x:v>
      </x:c>
      <x:c r="U171" s="98" t="n">
        <x:v>84.2294847816871</x:v>
      </x:c>
      <x:c r="V171" s="95" t="n">
        <x:v>0.00012854253079474474</x:v>
      </x:c>
      <x:c r="W171" s="95" t="n">
        <x:v>3.74359374121095e-16</x:v>
      </x:c>
      <x:c r="X171" s="95" t="n">
        <x:v>343366667647.9824</x:v>
      </x:c>
      <x:c r="Y171" s="99" t="n">
        <x:f>IFERROR(IF(ISBLANK(INDEX('Long_TCAD'!$H$2:$H$176,MATCH(B171,'Long_TCAD'!$A$2:$A$176,0))),"",INDEX('Long_TCAD'!$H$2:$H$176,MATCH(B171,'Long_TCAD'!$A$2:$A$176,0))),"")</x:f>
        <x:v>0.886</x:v>
      </x:c>
      <x:c r="Z171" s="100" t="n">
        <x:f>IFERROR(IF(ISBLANK(INDEX('Long_TCAD'!$I$2:$I$176,MATCH(B171,'Long_TCAD'!$A$2:$A$176,0))),"",INDEX('Long_TCAD'!$I$2:$I$176,MATCH(B171,'Long_TCAD'!$A$2:$A$176,0))),"")</x:f>
        <x:v>86.68</x:v>
      </x:c>
      <x:c r="AA171" s="96" t="n">
        <x:f>IFERROR(IF(ISBLANK(INDEX('Long_TCAD'!$J$2:$J$176,MATCH(B171,'Long_TCAD'!$A$2:$A$176,0))),"",INDEX('Long_TCAD'!$J$2:$J$176,MATCH(B171,'Long_TCAD'!$A$2:$A$176,0))),"")</x:f>
        <x:v>0.0001309</x:v>
      </x:c>
      <x:c r="AB171" s="96" t="n">
        <x:f>IFERROR(IF(ISBLANK(INDEX('Long_TCAD'!$K$2:$K$176,MATCH(B171,'Long_TCAD'!$A$2:$A$176,0))),"",INDEX('Long_TCAD'!$K$2:$K$176,MATCH(B171,'Long_TCAD'!$A$2:$A$176,0))),"")</x:f>
        <x:v>3.461e-16</x:v>
      </x:c>
      <x:c r="AC171" s="95" t="n">
        <x:f>IF(OR(NOT(ISNUMBER(AA171)),NOT(ISNUMBER(AB171))),"",AA171/AB171)</x:f>
        <x:v>378214388904.9408</x:v>
      </x:c>
      <x:c r="AD171" s="93" t="n">
        <x:f>IF(NOT(ISNUMBER(Y171)),"",ABS(Y171-T171)*1000)</x:f>
        <x:v>0.0966666666685212</x:v>
      </x:c>
      <x:c r="AE171" s="93" t="n">
        <x:f>IF(NOT(ISNUMBER(Z171)),"",ABS(Z171-U171))</x:f>
        <x:v>2.4505152183129013</x:v>
      </x:c>
      <x:c r="AF171" s="93" t="n">
        <x:f>IF(NOT(ISNUMBER(AA171)),"",ABS(LOG10(AA171)-LOG10(V171)))</x:f>
        <x:v>0.007892800335549843</x:v>
      </x:c>
      <x:c r="AG171" s="93" t="n">
        <x:f>IF(NOT(ISNUMBER(AB171)),"",ABS(LOG10(AB171)-LOG10(W171)))</x:f>
        <x:v>0.03408711322829916</x:v>
      </x:c>
      <x:c r="AH171" s="93" t="n">
        <x:f>IF(NOT(ISNUMBER(AC171)),"",ABS(LOG10(AC171)-LOG10(X171)))</x:f>
        <x:v>0.04197991356380015</x:v>
      </x:c>
      <x:c r="AI171" s="85" t="str">
        <x:f>IF(OR(NOT(ISNUMBER(Y171)),NOT(ISNUMBER(Z171)),NOT(ISNUMBER(AA171)),NOT(ISNUMBER(AB171))),"",IF(AND(Y171&gt;=0.3,Y171&lt;=1.2,Z171&lt;=200,AA171&gt;=1E-4,AB171&lt;=1E-6),"PASS","FAIL"))</x:f>
        <x:v>PASS</x:v>
      </x:c>
      <x:c r="AJ171" s="85" t="str"/>
    </x:row>
    <x:row r="172">
      <x:c r="A172" s="85" t="str">
        <x:v>L1000-21</x:v>
      </x:c>
      <x:c r="B172" s="85" t="str">
        <x:v>LR155</x:v>
      </x:c>
      <x:c r="C172" s="93" t="n">
        <x:v>1</x:v>
      </x:c>
      <x:c r="D172" s="93" t="str">
        <x:v>Practical</x:v>
      </x:c>
      <x:c r="E172" s="93" t="n">
        <x:v>1</x:v>
      </x:c>
      <x:c r="F172" s="94" t="n">
        <x:v>391086</x:v>
      </x:c>
      <x:c r="G172" s="93" t="n">
        <x:v>0.8795779355528364</x:v>
      </x:c>
      <x:c r="H172" s="93" t="n">
        <x:v>92.68446782299962</x:v>
      </x:c>
      <x:c r="I172" s="95" t="n">
        <x:v>0.00013801823296205934</x:v>
      </x:c>
      <x:c r="J172" s="95" t="n">
        <x:v>6.914284744737314e-16</x:v>
      </x:c>
      <x:c r="K172" s="95" t="n">
        <x:v>199613174836.49988</x:v>
      </x:c>
      <x:c r="L172" s="95" t="n">
        <x:v>478095970543992.2</x:v>
      </x:c>
      <x:c r="M172" s="95" t="n">
        <x:v>54.52172115935931</x:v>
      </x:c>
      <x:c r="N172" s="95" t="n">
        <x:v>299435697330282</x:v>
      </x:c>
      <x:c r="O172" s="95" t="n">
        <x:v>10.561512616342219</x:v>
      </x:c>
      <x:c r="P172" s="93"/>
      <x:c r="Q172" s="95"/>
      <x:c r="R172" s="95"/>
      <x:c r="S172" s="97" t="n">
        <x:v>1</x:v>
      </x:c>
      <x:c r="T172" s="93" t="n">
        <x:v>0.8790466666666639</x:v>
      </x:c>
      <x:c r="U172" s="98" t="n">
        <x:v>87.16112139930864</x:v>
      </x:c>
      <x:c r="V172" s="95" t="n">
        <x:v>0.00013506284669592282</x:v>
      </x:c>
      <x:c r="W172" s="95" t="n">
        <x:v>6.747149897159785e-16</x:v>
      </x:c>
      <x:c r="X172" s="95" t="n">
        <x:v>200177628709.23853</x:v>
      </x:c>
      <x:c r="Y172" s="99" t="n">
        <x:f>IFERROR(IF(ISBLANK(INDEX('Long_TCAD'!$H$2:$H$176,MATCH(B172,'Long_TCAD'!$A$2:$A$176,0))),"",INDEX('Long_TCAD'!$H$2:$H$176,MATCH(B172,'Long_TCAD'!$A$2:$A$176,0))),"")</x:f>
        <x:v>0.883</x:v>
      </x:c>
      <x:c r="Z172" s="100" t="n">
        <x:f>IFERROR(IF(ISBLANK(INDEX('Long_TCAD'!$I$2:$I$176,MATCH(B172,'Long_TCAD'!$A$2:$A$176,0))),"",INDEX('Long_TCAD'!$I$2:$I$176,MATCH(B172,'Long_TCAD'!$A$2:$A$176,0))),"")</x:f>
        <x:v>86.914</x:v>
      </x:c>
      <x:c r="AA172" s="96" t="n">
        <x:f>IFERROR(IF(ISBLANK(INDEX('Long_TCAD'!$J$2:$J$176,MATCH(B172,'Long_TCAD'!$A$2:$A$176,0))),"",INDEX('Long_TCAD'!$J$2:$J$176,MATCH(B172,'Long_TCAD'!$A$2:$A$176,0))),"")</x:f>
        <x:v>0.00014</x:v>
      </x:c>
      <x:c r="AB172" s="96" t="n">
        <x:f>IFERROR(IF(ISBLANK(INDEX('Long_TCAD'!$K$2:$K$176,MATCH(B172,'Long_TCAD'!$A$2:$A$176,0))),"",INDEX('Long_TCAD'!$K$2:$K$176,MATCH(B172,'Long_TCAD'!$A$2:$A$176,0))),"")</x:f>
        <x:v>6.511e-16</x:v>
      </x:c>
      <x:c r="AC172" s="95" t="n">
        <x:f>IF(OR(NOT(ISNUMBER(AA172)),NOT(ISNUMBER(AB172))),"",AA172/AB172)</x:f>
        <x:v>215020734142.22086</x:v>
      </x:c>
      <x:c r="AD172" s="93" t="n">
        <x:f>IF(NOT(ISNUMBER(Y172)),"",ABS(Y172-T172)*1000)</x:f>
        <x:v>3.95333333333614</x:v>
      </x:c>
      <x:c r="AE172" s="93" t="n">
        <x:f>IF(NOT(ISNUMBER(Z172)),"",ABS(Z172-U172))</x:f>
        <x:v>0.2471213993086394</x:v>
      </x:c>
      <x:c r="AF172" s="93" t="n">
        <x:f>IF(NOT(ISNUMBER(AA172)),"",ABS(LOG10(AA172)-LOG10(V172)))</x:f>
        <x:v>0.015592136649010158</x:v>
      </x:c>
      <x:c r="AG172" s="93" t="n">
        <x:f>IF(NOT(ISNUMBER(AB172)),"",ABS(LOG10(AB172)-LOG10(W172)))</x:f>
        <x:v>0.015472663361300931</x:v>
      </x:c>
      <x:c r="AH172" s="93" t="n">
        <x:f>IF(NOT(ISNUMBER(AC172)),"",ABS(LOG10(AC172)-LOG10(X172)))</x:f>
        <x:v>0.03106480001019918</x:v>
      </x:c>
      <x:c r="AI172" s="85" t="str">
        <x:f>IF(OR(NOT(ISNUMBER(Y172)),NOT(ISNUMBER(Z172)),NOT(ISNUMBER(AA172)),NOT(ISNUMBER(AB172))),"",IF(AND(Y172&gt;=0.3,Y172&lt;=1.2,Z172&lt;=200,AA172&gt;=1E-4,AB172&lt;=1E-6),"PASS","FAIL"))</x:f>
        <x:v>PASS</x:v>
      </x:c>
      <x:c r="AJ172" s="85" t="str"/>
    </x:row>
    <x:row r="173">
      <x:c r="A173" s="85" t="str">
        <x:v>L1000-22</x:v>
      </x:c>
      <x:c r="B173" s="85" t="str">
        <x:v>LR156</x:v>
      </x:c>
      <x:c r="C173" s="93" t="n">
        <x:v>1</x:v>
      </x:c>
      <x:c r="D173" s="93" t="str">
        <x:v>Practical</x:v>
      </x:c>
      <x:c r="E173" s="93" t="n">
        <x:v>1</x:v>
      </x:c>
      <x:c r="F173" s="94" t="n">
        <x:v>428084</x:v>
      </x:c>
      <x:c r="G173" s="93" t="n">
        <x:v>0.8795764814218994</x:v>
      </x:c>
      <x:c r="H173" s="93" t="n">
        <x:v>86.50271710915185</x:v>
      </x:c>
      <x:c r="I173" s="95" t="n">
        <x:v>0.0001311</x:v>
      </x:c>
      <x:c r="J173" s="95" t="n">
        <x:v>5.863177564677169e-16</x:v>
      </x:c>
      <x:c r="K173" s="95" t="n">
        <x:v>223598890795.6917</x:v>
      </x:c>
      <x:c r="L173" s="95" t="n">
        <x:v>637296294020.816</x:v>
      </x:c>
      <x:c r="M173" s="95" t="n">
        <x:v>68.83764950733824</x:v>
      </x:c>
      <x:c r="N173" s="95" t="n">
        <x:v>2908145817765137</x:v>
      </x:c>
      <x:c r="O173" s="95" t="n">
        <x:v>30.387256099686134</x:v>
      </x:c>
      <x:c r="P173" s="93"/>
      <x:c r="Q173" s="95"/>
      <x:c r="R173" s="95"/>
      <x:c r="S173" s="97" t="n">
        <x:v>1</x:v>
      </x:c>
      <x:c r="T173" s="93" t="n">
        <x:v>0.8837899999999977</x:v>
      </x:c>
      <x:c r="U173" s="98" t="n">
        <x:v>86.3911628119807</x:v>
      </x:c>
      <x:c r="V173" s="95" t="n">
        <x:v>0.00013231864033254716</x:v>
      </x:c>
      <x:c r="W173" s="95" t="n">
        <x:v>5.823384310950881e-16</x:v>
      </x:c>
      <x:c r="X173" s="95" t="n">
        <x:v>227219488302.91312</x:v>
      </x:c>
      <x:c r="Y173" s="99" t="n">
        <x:f>IFERROR(IF(ISBLANK(INDEX('Long_TCAD'!$H$2:$H$176,MATCH(B173,'Long_TCAD'!$A$2:$A$176,0))),"",INDEX('Long_TCAD'!$H$2:$H$176,MATCH(B173,'Long_TCAD'!$A$2:$A$176,0))),"")</x:f>
        <x:v>0.887</x:v>
      </x:c>
      <x:c r="Z173" s="100" t="n">
        <x:f>IFERROR(IF(ISBLANK(INDEX('Long_TCAD'!$I$2:$I$176,MATCH(B173,'Long_TCAD'!$A$2:$A$176,0))),"",INDEX('Long_TCAD'!$I$2:$I$176,MATCH(B173,'Long_TCAD'!$A$2:$A$176,0))),"")</x:f>
        <x:v>86.261</x:v>
      </x:c>
      <x:c r="AA173" s="96" t="n">
        <x:f>IFERROR(IF(ISBLANK(INDEX('Long_TCAD'!$J$2:$J$176,MATCH(B173,'Long_TCAD'!$A$2:$A$176,0))),"",INDEX('Long_TCAD'!$J$2:$J$176,MATCH(B173,'Long_TCAD'!$A$2:$A$176,0))),"")</x:f>
        <x:v>0.0001358</x:v>
      </x:c>
      <x:c r="AB173" s="96" t="n">
        <x:f>IFERROR(IF(ISBLANK(INDEX('Long_TCAD'!$K$2:$K$176,MATCH(B173,'Long_TCAD'!$A$2:$A$176,0))),"",INDEX('Long_TCAD'!$K$2:$K$176,MATCH(B173,'Long_TCAD'!$A$2:$A$176,0))),"")</x:f>
        <x:v>4.859e-16</x:v>
      </x:c>
      <x:c r="AC173" s="95" t="n">
        <x:f>IF(OR(NOT(ISNUMBER(AA173)),NOT(ISNUMBER(AB173))),"",AA173/AB173)</x:f>
        <x:v>279481374768.4709</x:v>
      </x:c>
      <x:c r="AD173" s="93" t="n">
        <x:f>IF(NOT(ISNUMBER(Y173)),"",ABS(Y173-T173)*1000)</x:f>
        <x:v>3.2100000000022666</x:v>
      </x:c>
      <x:c r="AE173" s="93" t="n">
        <x:f>IF(NOT(ISNUMBER(Z173)),"",ABS(Z173-U173))</x:f>
        <x:v>0.13016281198071056</x:v>
      </x:c>
      <x:c r="AF173" s="93" t="n">
        <x:f>IF(NOT(ISNUMBER(AA173)),"",ABS(LOG10(AA173)-LOG10(V173)))</x:f>
        <x:v>0.01127874039550969</x:v>
      </x:c>
      <x:c r="AG173" s="93" t="n">
        <x:f>IF(NOT(ISNUMBER(AB173)),"",ABS(LOG10(AB173)-LOG10(W173)))</x:f>
        <x:v>0.07862855300930072</x:v>
      </x:c>
      <x:c r="AH173" s="93" t="n">
        <x:f>IF(NOT(ISNUMBER(AC173)),"",ABS(LOG10(AC173)-LOG10(X173)))</x:f>
        <x:v>0.0899072934047993</x:v>
      </x:c>
      <x:c r="AI173" s="85" t="str">
        <x:f>IF(OR(NOT(ISNUMBER(Y173)),NOT(ISNUMBER(Z173)),NOT(ISNUMBER(AA173)),NOT(ISNUMBER(AB173))),"",IF(AND(Y173&gt;=0.3,Y173&lt;=1.2,Z173&lt;=200,AA173&gt;=1E-4,AB173&lt;=1E-6),"PASS","FAIL"))</x:f>
        <x:v>PASS</x:v>
      </x:c>
      <x:c r="AJ173" s="85" t="str"/>
    </x:row>
    <x:row r="174">
      <x:c r="A174" s="85" t="str">
        <x:v>L1000-23</x:v>
      </x:c>
      <x:c r="B174" s="85" t="str">
        <x:v>LR157</x:v>
      </x:c>
      <x:c r="C174" s="93" t="n">
        <x:v>1</x:v>
      </x:c>
      <x:c r="D174" s="93" t="str">
        <x:v>Practical</x:v>
      </x:c>
      <x:c r="E174" s="93" t="n">
        <x:v>1</x:v>
      </x:c>
      <x:c r="F174" s="94" t="n">
        <x:v>425528</x:v>
      </x:c>
      <x:c r="G174" s="93" t="n">
        <x:v>0.8807513681886706</x:v>
      </x:c>
      <x:c r="H174" s="93" t="n">
        <x:v>83.492</x:v>
      </x:c>
      <x:c r="I174" s="95" t="n">
        <x:v>0.00014524964636236198</x:v>
      </x:c>
      <x:c r="J174" s="95" t="n">
        <x:v>4.679818614784932e-16</x:v>
      </x:c>
      <x:c r="K174" s="95" t="n">
        <x:v>310374521575.4204</x:v>
      </x:c>
      <x:c r="L174" s="95" t="n">
        <x:v>343433242796459.9</x:v>
      </x:c>
      <x:c r="M174" s="95" t="n">
        <x:v>48.65742658368378</x:v>
      </x:c>
      <x:c r="N174" s="95" t="n">
        <x:v>852904787264195100</x:v>
      </x:c>
      <x:c r="O174" s="95" t="n">
        <x:v>13.289062877375084</x:v>
      </x:c>
      <x:c r="P174" s="93"/>
      <x:c r="Q174" s="95"/>
      <x:c r="R174" s="95"/>
      <x:c r="S174" s="97" t="n">
        <x:v>1</x:v>
      </x:c>
      <x:c r="T174" s="93" t="n">
        <x:v>0.8861066666666652</x:v>
      </x:c>
      <x:c r="U174" s="98" t="n">
        <x:v>84.89278443672042</x:v>
      </x:c>
      <x:c r="V174" s="95" t="n">
        <x:v>0.00014223367811939722</x:v>
      </x:c>
      <x:c r="W174" s="95" t="n">
        <x:v>4.845845147516686e-16</x:v>
      </x:c>
      <x:c r="X174" s="95" t="n">
        <x:v>293516762895.9143</x:v>
      </x:c>
      <x:c r="Y174" s="99" t="n">
        <x:f>IFERROR(IF(ISBLANK(INDEX('Long_TCAD'!$H$2:$H$176,MATCH(B174,'Long_TCAD'!$A$2:$A$176,0))),"",INDEX('Long_TCAD'!$H$2:$H$176,MATCH(B174,'Long_TCAD'!$A$2:$A$176,0))),"")</x:f>
        <x:v>0.887</x:v>
      </x:c>
      <x:c r="Z174" s="100" t="n">
        <x:f>IFERROR(IF(ISBLANK(INDEX('Long_TCAD'!$I$2:$I$176,MATCH(B174,'Long_TCAD'!$A$2:$A$176,0))),"",INDEX('Long_TCAD'!$I$2:$I$176,MATCH(B174,'Long_TCAD'!$A$2:$A$176,0))),"")</x:f>
        <x:v>86.085</x:v>
      </x:c>
      <x:c r="AA174" s="96" t="n">
        <x:f>IFERROR(IF(ISBLANK(INDEX('Long_TCAD'!$J$2:$J$176,MATCH(B174,'Long_TCAD'!$A$2:$A$176,0))),"",INDEX('Long_TCAD'!$J$2:$J$176,MATCH(B174,'Long_TCAD'!$A$2:$A$176,0))),"")</x:f>
        <x:v>0.000142</x:v>
      </x:c>
      <x:c r="AB174" s="96" t="n">
        <x:f>IFERROR(IF(ISBLANK(INDEX('Long_TCAD'!$K$2:$K$176,MATCH(B174,'Long_TCAD'!$A$2:$A$176,0))),"",INDEX('Long_TCAD'!$K$2:$K$176,MATCH(B174,'Long_TCAD'!$A$2:$A$176,0))),"")</x:f>
        <x:v>3.921e-16</x:v>
      </x:c>
      <x:c r="AC174" s="95" t="n">
        <x:f>IF(OR(NOT(ISNUMBER(AA174)),NOT(ISNUMBER(AB174))),"",AA174/AB174)</x:f>
        <x:v>362152512114.2566</x:v>
      </x:c>
      <x:c r="AD174" s="93" t="n">
        <x:f>IF(NOT(ISNUMBER(Y174)),"",ABS(Y174-T174)*1000)</x:f>
        <x:v>0.8933333333348559</x:v>
      </x:c>
      <x:c r="AE174" s="93" t="n">
        <x:f>IF(NOT(ISNUMBER(Z174)),"",ABS(Z174-U174))</x:f>
        <x:v>1.192215563279575</x:v>
      </x:c>
      <x:c r="AF174" s="93" t="n">
        <x:f>IF(NOT(ISNUMBER(AA174)),"",ABS(LOG10(AA174)-LOG10(V174)))</x:f>
        <x:v>0.0007140965231999807</x:v>
      </x:c>
      <x:c r="AG174" s="93" t="n">
        <x:f>IF(NOT(ISNUMBER(AB174)),"",ABS(LOG10(AB174)-LOG10(W174)))</x:f>
        <x:v>0.09197268952900117</x:v>
      </x:c>
      <x:c r="AH174" s="93" t="n">
        <x:f>IF(NOT(ISNUMBER(AC174)),"",ABS(LOG10(AC174)-LOG10(X174)))</x:f>
        <x:v>0.09125859300579897</x:v>
      </x:c>
      <x:c r="AI174" s="85" t="str">
        <x:f>IF(OR(NOT(ISNUMBER(Y174)),NOT(ISNUMBER(Z174)),NOT(ISNUMBER(AA174)),NOT(ISNUMBER(AB174))),"",IF(AND(Y174&gt;=0.3,Y174&lt;=1.2,Z174&lt;=200,AA174&gt;=1E-4,AB174&lt;=1E-6),"PASS","FAIL"))</x:f>
        <x:v>PASS</x:v>
      </x:c>
      <x:c r="AJ174" s="85" t="str"/>
    </x:row>
    <x:row r="175">
      <x:c r="A175" s="85" t="str">
        <x:v>L1000-24</x:v>
      </x:c>
      <x:c r="B175" s="85" t="str">
        <x:v>LR158</x:v>
      </x:c>
      <x:c r="C175" s="93" t="n">
        <x:v>1</x:v>
      </x:c>
      <x:c r="D175" s="93" t="str">
        <x:v>Practical</x:v>
      </x:c>
      <x:c r="E175" s="93" t="n">
        <x:v>1</x:v>
      </x:c>
      <x:c r="F175" s="94" t="n">
        <x:v>397193</x:v>
      </x:c>
      <x:c r="G175" s="93" t="n">
        <x:v>0.8865512826483237</x:v>
      </x:c>
      <x:c r="H175" s="93" t="n">
        <x:v>92.0298971904412</x:v>
      </x:c>
      <x:c r="I175" s="95" t="n">
        <x:v>0.000164</x:v>
      </x:c>
      <x:c r="J175" s="95" t="n">
        <x:v>3.4407343673426486e-16</x:v>
      </x:c>
      <x:c r="K175" s="95" t="n">
        <x:v>476642432954.3947</x:v>
      </x:c>
      <x:c r="L175" s="95" t="n">
        <x:v>749937946194700.1</x:v>
      </x:c>
      <x:c r="M175" s="95" t="n">
        <x:v>26.54375020161431</x:v>
      </x:c>
      <x:c r="N175" s="95" t="n">
        <x:v>877110333460663000</x:v>
      </x:c>
      <x:c r="O175" s="95" t="n">
        <x:v>12.115443454674036</x:v>
      </x:c>
      <x:c r="P175" s="93"/>
      <x:c r="Q175" s="95"/>
      <x:c r="R175" s="95"/>
      <x:c r="S175" s="97" t="n">
        <x:v>0.9966666666666667</x:v>
      </x:c>
      <x:c r="T175" s="93" t="n">
        <x:v>0.888943333333336</x:v>
      </x:c>
      <x:c r="U175" s="98" t="n">
        <x:v>89.01689607268507</x:v>
      </x:c>
      <x:c r="V175" s="95" t="n">
        <x:v>0.00014108795981759782</x:v>
      </x:c>
      <x:c r="W175" s="95" t="n">
        <x:v>3.527739179315048e-16</x:v>
      </x:c>
      <x:c r="X175" s="95" t="n">
        <x:v>399938750134.5599</x:v>
      </x:c>
      <x:c r="Y175" s="99" t="n">
        <x:f>IFERROR(IF(ISBLANK(INDEX('Long_TCAD'!$H$2:$H$176,MATCH(B175,'Long_TCAD'!$A$2:$A$176,0))),"",INDEX('Long_TCAD'!$H$2:$H$176,MATCH(B175,'Long_TCAD'!$A$2:$A$176,0))),"")</x:f>
        <x:v>0.889</x:v>
      </x:c>
      <x:c r="Z175" s="100" t="n">
        <x:f>IFERROR(IF(ISBLANK(INDEX('Long_TCAD'!$I$2:$I$176,MATCH(B175,'Long_TCAD'!$A$2:$A$176,0))),"",INDEX('Long_TCAD'!$I$2:$I$176,MATCH(B175,'Long_TCAD'!$A$2:$A$176,0))),"")</x:f>
        <x:v>87.192</x:v>
      </x:c>
      <x:c r="AA175" s="96" t="n">
        <x:f>IFERROR(IF(ISBLANK(INDEX('Long_TCAD'!$J$2:$J$176,MATCH(B175,'Long_TCAD'!$A$2:$A$176,0))),"",INDEX('Long_TCAD'!$J$2:$J$176,MATCH(B175,'Long_TCAD'!$A$2:$A$176,0))),"")</x:f>
        <x:v>0.0001417</x:v>
      </x:c>
      <x:c r="AB175" s="96" t="n">
        <x:f>IFERROR(IF(ISBLANK(INDEX('Long_TCAD'!$K$2:$K$176,MATCH(B175,'Long_TCAD'!$A$2:$A$176,0))),"",INDEX('Long_TCAD'!$K$2:$K$176,MATCH(B175,'Long_TCAD'!$A$2:$A$176,0))),"")</x:f>
        <x:v>3.877e-16</x:v>
      </x:c>
      <x:c r="AC175" s="95" t="n">
        <x:f>IF(OR(NOT(ISNUMBER(AA175)),NOT(ISNUMBER(AB175))),"",AA175/AB175)</x:f>
        <x:v>365488779984.5241</x:v>
      </x:c>
      <x:c r="AD175" s="93" t="n">
        <x:f>IF(NOT(ISNUMBER(Y175)),"",ABS(Y175-T175)*1000)</x:f>
        <x:v>0.0566666666640403</x:v>
      </x:c>
      <x:c r="AE175" s="93" t="n">
        <x:f>IF(NOT(ISNUMBER(Z175)),"",ABS(Z175-U175))</x:f>
        <x:v>1.8248960726850783</x:v>
      </x:c>
      <x:c r="AF175" s="93" t="n">
        <x:f>IF(NOT(ISNUMBER(AA175)),"",ABS(LOG10(AA175)-LOG10(V175)))</x:f>
        <x:v>0.0018798967899797958</x:v>
      </x:c>
      <x:c r="AG175" s="93" t="n">
        <x:f>IF(NOT(ISNUMBER(AB175)),"",ABS(LOG10(AB175)-LOG10(W175)))</x:f>
        <x:v>0.040999332589199966</x:v>
      </x:c>
      <x:c r="AH175" s="93" t="n">
        <x:f>IF(NOT(ISNUMBER(AC175)),"",ABS(LOG10(AC175)-LOG10(X175)))</x:f>
        <x:v>0.039119435799300106</x:v>
      </x:c>
      <x:c r="AI175" s="85" t="str">
        <x:f>IF(OR(NOT(ISNUMBER(Y175)),NOT(ISNUMBER(Z175)),NOT(ISNUMBER(AA175)),NOT(ISNUMBER(AB175))),"",IF(AND(Y175&gt;=0.3,Y175&lt;=1.2,Z175&lt;=200,AA175&gt;=1E-4,AB175&lt;=1E-6),"PASS","FAIL"))</x:f>
        <x:v>PASS</x:v>
      </x:c>
      <x:c r="AJ175" s="85" t="str"/>
    </x:row>
    <x:row r="176">
      <x:c r="A176" s="85" t="str">
        <x:v>L1000-25</x:v>
      </x:c>
      <x:c r="B176" s="85" t="str">
        <x:v>LR159</x:v>
      </x:c>
      <x:c r="C176" s="93" t="n">
        <x:v>1</x:v>
      </x:c>
      <x:c r="D176" s="93" t="str">
        <x:v>Practical</x:v>
      </x:c>
      <x:c r="E176" s="93" t="n">
        <x:v>1</x:v>
      </x:c>
      <x:c r="F176" s="94" t="n">
        <x:v>381319</x:v>
      </x:c>
      <x:c r="G176" s="93" t="n">
        <x:v>0.8844433332067569</x:v>
      </x:c>
      <x:c r="H176" s="93" t="n">
        <x:v>84.82721272363277</x:v>
      </x:c>
      <x:c r="I176" s="95" t="n">
        <x:v>0.00014428074412631349</x:v>
      </x:c>
      <x:c r="J176" s="95" t="n">
        <x:v>7.412759075530701e-16</x:v>
      </x:c>
      <x:c r="K176" s="95" t="n">
        <x:v>194638383166.3705</x:v>
      </x:c>
      <x:c r="L176" s="95" t="n">
        <x:v>92539274437628.11</x:v>
      </x:c>
      <x:c r="M176" s="95" t="n">
        <x:v>66.29855761335773</x:v>
      </x:c>
      <x:c r="N176" s="95" t="n">
        <x:v>5209053359702460</x:v>
      </x:c>
      <x:c r="O176" s="95" t="n">
        <x:v>11.389067835139363</x:v>
      </x:c>
      <x:c r="P176" s="93"/>
      <x:c r="Q176" s="95"/>
      <x:c r="R176" s="95"/>
      <x:c r="S176" s="97" t="n">
        <x:v>1</x:v>
      </x:c>
      <x:c r="T176" s="93" t="n">
        <x:v>0.8654233333333368</x:v>
      </x:c>
      <x:c r="U176" s="98" t="n">
        <x:v>85.69790119891812</x:v>
      </x:c>
      <x:c r="V176" s="95" t="n">
        <x:v>0.00013876453323019824</x:v>
      </x:c>
      <x:c r="W176" s="95" t="n">
        <x:v>7.145011258987892e-16</x:v>
      </x:c>
      <x:c r="X176" s="95" t="n">
        <x:v>194211776861.29297</x:v>
      </x:c>
      <x:c r="Y176" s="99" t="n">
        <x:f>IFERROR(IF(ISBLANK(INDEX('Long_TCAD'!$H$2:$H$176,MATCH(B176,'Long_TCAD'!$A$2:$A$176,0))),"",INDEX('Long_TCAD'!$H$2:$H$176,MATCH(B176,'Long_TCAD'!$A$2:$A$176,0))),"")</x:f>
        <x:v>0.877</x:v>
      </x:c>
      <x:c r="Z176" s="100" t="n">
        <x:f>IFERROR(IF(ISBLANK(INDEX('Long_TCAD'!$I$2:$I$176,MATCH(B176,'Long_TCAD'!$A$2:$A$176,0))),"",INDEX('Long_TCAD'!$I$2:$I$176,MATCH(B176,'Long_TCAD'!$A$2:$A$176,0))),"")</x:f>
        <x:v>85.94</x:v>
      </x:c>
      <x:c r="AA176" s="96" t="n">
        <x:f>IFERROR(IF(ISBLANK(INDEX('Long_TCAD'!$J$2:$J$176,MATCH(B176,'Long_TCAD'!$A$2:$A$176,0))),"",INDEX('Long_TCAD'!$J$2:$J$176,MATCH(B176,'Long_TCAD'!$A$2:$A$176,0))),"")</x:f>
        <x:v>0.0001392</x:v>
      </x:c>
      <x:c r="AB176" s="96" t="n">
        <x:f>IFERROR(IF(ISBLANK(INDEX('Long_TCAD'!$K$2:$K$176,MATCH(B176,'Long_TCAD'!$A$2:$A$176,0))),"",INDEX('Long_TCAD'!$K$2:$K$176,MATCH(B176,'Long_TCAD'!$A$2:$A$176,0))),"")</x:f>
        <x:v>6.779e-16</x:v>
      </x:c>
      <x:c r="AC176" s="95" t="n">
        <x:f>IF(OR(NOT(ISNUMBER(AA176)),NOT(ISNUMBER(AB176))),"",AA176/AB176)</x:f>
        <x:v>205340020652.01355</x:v>
      </x:c>
      <x:c r="AD176" s="93" t="n">
        <x:f>IF(NOT(ISNUMBER(Y176)),"",ABS(Y176-T176)*1000)</x:f>
        <x:v>11.576666666663238</x:v>
      </x:c>
      <x:c r="AE176" s="93" t="n">
        <x:f>IF(NOT(ISNUMBER(Z176)),"",ABS(Z176-U176))</x:f>
        <x:v>0.2420988010818803</x:v>
      </x:c>
      <x:c r="AF176" s="93" t="n">
        <x:f>IF(NOT(ISNUMBER(AA176)),"",ABS(LOG10(AA176)-LOG10(V176)))</x:f>
        <x:v>0.0013607561202202412</x:v>
      </x:c>
      <x:c r="AG176" s="93" t="n">
        <x:f>IF(NOT(ISNUMBER(AB176)),"",ABS(LOG10(AB176)-LOG10(W176)))</x:f>
        <x:v>0.022837283572000544</x:v>
      </x:c>
      <x:c r="AH176" s="93" t="n">
        <x:f>IF(NOT(ISNUMBER(AC176)),"",ABS(LOG10(AC176)-LOG10(X176)))</x:f>
        <x:v>0.024198039692199913</x:v>
      </x:c>
      <x:c r="AI176" s="85" t="str">
        <x:f>IF(OR(NOT(ISNUMBER(Y176)),NOT(ISNUMBER(Z176)),NOT(ISNUMBER(AA176)),NOT(ISNUMBER(AB176))),"",IF(AND(Y176&gt;=0.3,Y176&lt;=1.2,Z176&lt;=200,AA176&gt;=1E-4,AB176&lt;=1E-6),"PASS","FAIL"))</x:f>
        <x:v>PASS</x:v>
      </x:c>
      <x:c r="AJ176" s="85" t="str"/>
    </x:row>
    <x:row r="177">
      <x:c r="A177" s="85" t="str">
        <x:v>L1000-26</x:v>
      </x:c>
      <x:c r="B177" s="85" t="str">
        <x:v>LR154</x:v>
      </x:c>
      <x:c r="C177" s="93" t="n">
        <x:v>1</x:v>
      </x:c>
      <x:c r="D177" s="93" t="str">
        <x:v>Practical</x:v>
      </x:c>
      <x:c r="E177" s="93" t="n">
        <x:v>1</x:v>
      </x:c>
      <x:c r="F177" s="94" t="n">
        <x:v>412459</x:v>
      </x:c>
      <x:c r="G177" s="93" t="n">
        <x:v>0.8819307671955623</x:v>
      </x:c>
      <x:c r="H177" s="93" t="n">
        <x:v>83.492</x:v>
      </x:c>
      <x:c r="I177" s="95" t="n">
        <x:v>0.0001311</x:v>
      </x:c>
      <x:c r="J177" s="95" t="n">
        <x:v>3.7900126367115036e-16</x:v>
      </x:c>
      <x:c r="K177" s="95" t="n">
        <x:v>345909136898.6888</x:v>
      </x:c>
      <x:c r="L177" s="95" t="n">
        <x:v>37542225670775.35</x:v>
      </x:c>
      <x:c r="M177" s="95" t="n">
        <x:v>12.813752512980624</x:v>
      </x:c>
      <x:c r="N177" s="95" t="n">
        <x:v>682700525103471.9</x:v>
      </x:c>
      <x:c r="O177" s="95" t="n">
        <x:v>15.084399975014252</x:v>
      </x:c>
      <x:c r="P177" s="93"/>
      <x:c r="Q177" s="95"/>
      <x:c r="R177" s="95"/>
      <x:c r="S177" s="97" t="n">
        <x:v>1</x:v>
      </x:c>
      <x:c r="T177" s="93" t="n">
        <x:v>0.8859033333333315</x:v>
      </x:c>
      <x:c r="U177" s="98" t="n">
        <x:v>84.2294847816871</x:v>
      </x:c>
      <x:c r="V177" s="95" t="n">
        <x:v>0.00012854253079474474</x:v>
      </x:c>
      <x:c r="W177" s="95" t="n">
        <x:v>3.74359374121095e-16</x:v>
      </x:c>
      <x:c r="X177" s="95" t="n">
        <x:v>343366667647.9824</x:v>
      </x:c>
      <x:c r="Y177" s="99" t="n">
        <x:f>IFERROR(IF(ISBLANK(INDEX('Long_TCAD'!$H$2:$H$176,MATCH(B177,'Long_TCAD'!$A$2:$A$176,0))),"",INDEX('Long_TCAD'!$H$2:$H$176,MATCH(B177,'Long_TCAD'!$A$2:$A$176,0))),"")</x:f>
        <x:v>0.886</x:v>
      </x:c>
      <x:c r="Z177" s="100" t="n">
        <x:f>IFERROR(IF(ISBLANK(INDEX('Long_TCAD'!$I$2:$I$176,MATCH(B177,'Long_TCAD'!$A$2:$A$176,0))),"",INDEX('Long_TCAD'!$I$2:$I$176,MATCH(B177,'Long_TCAD'!$A$2:$A$176,0))),"")</x:f>
        <x:v>86.68</x:v>
      </x:c>
      <x:c r="AA177" s="96" t="n">
        <x:f>IFERROR(IF(ISBLANK(INDEX('Long_TCAD'!$J$2:$J$176,MATCH(B177,'Long_TCAD'!$A$2:$A$176,0))),"",INDEX('Long_TCAD'!$J$2:$J$176,MATCH(B177,'Long_TCAD'!$A$2:$A$176,0))),"")</x:f>
        <x:v>0.0001309</x:v>
      </x:c>
      <x:c r="AB177" s="96" t="n">
        <x:f>IFERROR(IF(ISBLANK(INDEX('Long_TCAD'!$K$2:$K$176,MATCH(B177,'Long_TCAD'!$A$2:$A$176,0))),"",INDEX('Long_TCAD'!$K$2:$K$176,MATCH(B177,'Long_TCAD'!$A$2:$A$176,0))),"")</x:f>
        <x:v>3.461e-16</x:v>
      </x:c>
      <x:c r="AC177" s="95" t="n">
        <x:f>IF(OR(NOT(ISNUMBER(AA177)),NOT(ISNUMBER(AB177))),"",AA177/AB177)</x:f>
        <x:v>378214388904.9408</x:v>
      </x:c>
      <x:c r="AD177" s="93" t="n">
        <x:f>IF(NOT(ISNUMBER(Y177)),"",ABS(Y177-T177)*1000)</x:f>
        <x:v>0.0966666666685212</x:v>
      </x:c>
      <x:c r="AE177" s="93" t="n">
        <x:f>IF(NOT(ISNUMBER(Z177)),"",ABS(Z177-U177))</x:f>
        <x:v>2.4505152183129013</x:v>
      </x:c>
      <x:c r="AF177" s="93" t="n">
        <x:f>IF(NOT(ISNUMBER(AA177)),"",ABS(LOG10(AA177)-LOG10(V177)))</x:f>
        <x:v>0.007892800335549843</x:v>
      </x:c>
      <x:c r="AG177" s="93" t="n">
        <x:f>IF(NOT(ISNUMBER(AB177)),"",ABS(LOG10(AB177)-LOG10(W177)))</x:f>
        <x:v>0.03408711322829916</x:v>
      </x:c>
      <x:c r="AH177" s="93" t="n">
        <x:f>IF(NOT(ISNUMBER(AC177)),"",ABS(LOG10(AC177)-LOG10(X177)))</x:f>
        <x:v>0.04197991356380015</x:v>
      </x:c>
      <x:c r="AI177" s="85" t="str">
        <x:f>IF(OR(NOT(ISNUMBER(Y177)),NOT(ISNUMBER(Z177)),NOT(ISNUMBER(AA177)),NOT(ISNUMBER(AB177))),"",IF(AND(Y177&gt;=0.3,Y177&lt;=1.2,Z177&lt;=200,AA177&gt;=1E-4,AB177&lt;=1E-6),"PASS","FAIL"))</x:f>
        <x:v>PASS</x:v>
      </x:c>
      <x:c r="AJ177" s="85" t="str"/>
    </x:row>
    <x:row r="178">
      <x:c r="A178" s="85" t="str">
        <x:v>L1000-27</x:v>
      </x:c>
      <x:c r="B178" s="85" t="str">
        <x:v>LR160</x:v>
      </x:c>
      <x:c r="C178" s="93" t="n">
        <x:v>1</x:v>
      </x:c>
      <x:c r="D178" s="93" t="str">
        <x:v>Practical</x:v>
      </x:c>
      <x:c r="E178" s="93" t="n">
        <x:v>1</x:v>
      </x:c>
      <x:c r="F178" s="94" t="n">
        <x:v>397185</x:v>
      </x:c>
      <x:c r="G178" s="93" t="n">
        <x:v>0.8802076195914321</x:v>
      </x:c>
      <x:c r="H178" s="93" t="n">
        <x:v>83.492</x:v>
      </x:c>
      <x:c r="I178" s="95" t="n">
        <x:v>0.00015062488652166993</x:v>
      </x:c>
      <x:c r="J178" s="95" t="n">
        <x:v>6.787857083626821e-16</x:v>
      </x:c>
      <x:c r="K178" s="95" t="n">
        <x:v>221903444144.3919</x:v>
      </x:c>
      <x:c r="L178" s="95" t="n">
        <x:v>599076003767871.4</x:v>
      </x:c>
      <x:c r="M178" s="95" t="n">
        <x:v>62.51376064349655</x:v>
      </x:c>
      <x:c r="N178" s="95" t="n">
        <x:v>974588907124436000</x:v>
      </x:c>
      <x:c r="O178" s="95" t="n">
        <x:v>22.63051013533311</x:v>
      </x:c>
      <x:c r="P178" s="93"/>
      <x:c r="Q178" s="95"/>
      <x:c r="R178" s="95"/>
      <x:c r="S178" s="97" t="n">
        <x:v>1</x:v>
      </x:c>
      <x:c r="T178" s="93" t="n">
        <x:v>0.8579366666666706</x:v>
      </x:c>
      <x:c r="U178" s="98" t="n">
        <x:v>84.64047603994746</x:v>
      </x:c>
      <x:c r="V178" s="95" t="n">
        <x:v>0.00014537481118472197</x:v>
      </x:c>
      <x:c r="W178" s="95" t="n">
        <x:v>6.713746941913386e-16</x:v>
      </x:c>
      <x:c r="X178" s="95" t="n">
        <x:v>216533051427.89734</x:v>
      </x:c>
      <x:c r="Y178" s="99" t="n">
        <x:f>IFERROR(IF(ISBLANK(INDEX('Long_TCAD'!$H$2:$H$176,MATCH(B178,'Long_TCAD'!$A$2:$A$176,0))),"",INDEX('Long_TCAD'!$H$2:$H$176,MATCH(B178,'Long_TCAD'!$A$2:$A$176,0))),"")</x:f>
        <x:v>0.874</x:v>
      </x:c>
      <x:c r="Z178" s="100" t="n">
        <x:f>IFERROR(IF(ISBLANK(INDEX('Long_TCAD'!$I$2:$I$176,MATCH(B178,'Long_TCAD'!$A$2:$A$176,0))),"",INDEX('Long_TCAD'!$I$2:$I$176,MATCH(B178,'Long_TCAD'!$A$2:$A$176,0))),"")</x:f>
        <x:v>84.881</x:v>
      </x:c>
      <x:c r="AA178" s="96" t="n">
        <x:f>IFERROR(IF(ISBLANK(INDEX('Long_TCAD'!$J$2:$J$176,MATCH(B178,'Long_TCAD'!$A$2:$A$176,0))),"",INDEX('Long_TCAD'!$J$2:$J$176,MATCH(B178,'Long_TCAD'!$A$2:$A$176,0))),"")</x:f>
        <x:v>0.000145</x:v>
      </x:c>
      <x:c r="AB178" s="96" t="n">
        <x:f>IFERROR(IF(ISBLANK(INDEX('Long_TCAD'!$K$2:$K$176,MATCH(B178,'Long_TCAD'!$A$2:$A$176,0))),"",INDEX('Long_TCAD'!$K$2:$K$176,MATCH(B178,'Long_TCAD'!$A$2:$A$176,0))),"")</x:f>
        <x:v>6.061e-16</x:v>
      </x:c>
      <x:c r="AC178" s="95" t="n">
        <x:f>IF(OR(NOT(ISNUMBER(AA178)),NOT(ISNUMBER(AB178))),"",AA178/AB178)</x:f>
        <x:v>239234449760.76553</x:v>
      </x:c>
      <x:c r="AD178" s="93" t="n">
        <x:f>IF(NOT(ISNUMBER(Y178)),"",ABS(Y178-T178)*1000)</x:f>
        <x:v>16.06333333332943</x:v>
      </x:c>
      <x:c r="AE178" s="93" t="n">
        <x:f>IF(NOT(ISNUMBER(Z178)),"",ABS(Z178-U178))</x:f>
        <x:v>0.24052396005254195</x:v>
      </x:c>
      <x:c r="AF178" s="93" t="n">
        <x:f>IF(NOT(ISNUMBER(AA178)),"",ABS(LOG10(AA178)-LOG10(V178)))</x:f>
        <x:v>0.0011211614328296982</x:v>
      </x:c>
      <x:c r="AG178" s="93" t="n">
        <x:f>IF(NOT(ISNUMBER(AB178)),"",ABS(LOG10(AB178)-LOG10(W178)))</x:f>
        <x:v>0.044420683554101004</x:v>
      </x:c>
      <x:c r="AH178" s="93" t="n">
        <x:f>IF(NOT(ISNUMBER(AC178)),"",ABS(LOG10(AC178)-LOG10(X178)))</x:f>
        <x:v>0.04329952212130017</x:v>
      </x:c>
      <x:c r="AI178" s="85" t="str">
        <x:f>IF(OR(NOT(ISNUMBER(Y178)),NOT(ISNUMBER(Z178)),NOT(ISNUMBER(AA178)),NOT(ISNUMBER(AB178))),"",IF(AND(Y178&gt;=0.3,Y178&lt;=1.2,Z178&lt;=200,AA178&gt;=1E-4,AB178&lt;=1E-6),"PASS","FAIL"))</x:f>
        <x:v>PASS</x:v>
      </x:c>
      <x:c r="AJ178" s="85" t="str"/>
    </x:row>
    <x:row r="179">
      <x:c r="A179" s="85" t="str">
        <x:v>L1000-28</x:v>
      </x:c>
      <x:c r="B179" s="85" t="str">
        <x:v>LR161</x:v>
      </x:c>
      <x:c r="C179" s="93" t="n">
        <x:v>1</x:v>
      </x:c>
      <x:c r="D179" s="93" t="str">
        <x:v>Practical</x:v>
      </x:c>
      <x:c r="E179" s="93" t="n">
        <x:v>1</x:v>
      </x:c>
      <x:c r="F179" s="94" t="n">
        <x:v>373036</x:v>
      </x:c>
      <x:c r="G179" s="93" t="n">
        <x:v>0.886448377966825</x:v>
      </x:c>
      <x:c r="H179" s="93" t="n">
        <x:v>88.47770093410809</x:v>
      </x:c>
      <x:c r="I179" s="95" t="n">
        <x:v>0.00013440252639873636</x:v>
      </x:c>
      <x:c r="J179" s="95" t="n">
        <x:v>3.1075598598776827e-16</x:v>
      </x:c>
      <x:c r="K179" s="95" t="n">
        <x:v>432501809970.04706</x:v>
      </x:c>
      <x:c r="L179" s="95" t="n">
        <x:v>51823566195416.11</x:v>
      </x:c>
      <x:c r="M179" s="95" t="n">
        <x:v>25.139107467367715</x:v>
      </x:c>
      <x:c r="N179" s="95" t="n">
        <x:v>139895576258148020</x:v>
      </x:c>
      <x:c r="O179" s="95" t="n">
        <x:v>10.862982113987425</x:v>
      </x:c>
      <x:c r="P179" s="93"/>
      <x:c r="Q179" s="95"/>
      <x:c r="R179" s="95"/>
      <x:c r="S179" s="97" t="n">
        <x:v>1</x:v>
      </x:c>
      <x:c r="T179" s="93" t="n">
        <x:v>0.8869666666666671</x:v>
      </x:c>
      <x:c r="U179" s="98" t="n">
        <x:v>86.44746656914039</x:v>
      </x:c>
      <x:c r="V179" s="95" t="n">
        <x:v>0.00013541221114880245</x:v>
      </x:c>
      <x:c r="W179" s="95" t="n">
        <x:v>3.0806517429361975e-16</x:v>
      </x:c>
      <x:c r="X179" s="95" t="n">
        <x:v>439557023799.5802</x:v>
      </x:c>
      <x:c r="Y179" s="99" t="n">
        <x:f>IFERROR(IF(ISBLANK(INDEX('Long_TCAD'!$H$2:$H$176,MATCH(B179,'Long_TCAD'!$A$2:$A$176,0))),"",INDEX('Long_TCAD'!$H$2:$H$176,MATCH(B179,'Long_TCAD'!$A$2:$A$176,0))),"")</x:f>
        <x:v>0.889</x:v>
      </x:c>
      <x:c r="Z179" s="100" t="n">
        <x:f>IFERROR(IF(ISBLANK(INDEX('Long_TCAD'!$I$2:$I$176,MATCH(B179,'Long_TCAD'!$A$2:$A$176,0))),"",INDEX('Long_TCAD'!$I$2:$I$176,MATCH(B179,'Long_TCAD'!$A$2:$A$176,0))),"")</x:f>
        <x:v>86.242</x:v>
      </x:c>
      <x:c r="AA179" s="96" t="n">
        <x:f>IFERROR(IF(ISBLANK(INDEX('Long_TCAD'!$J$2:$J$176,MATCH(B179,'Long_TCAD'!$A$2:$A$176,0))),"",INDEX('Long_TCAD'!$J$2:$J$176,MATCH(B179,'Long_TCAD'!$A$2:$A$176,0))),"")</x:f>
        <x:v>0.0001372</x:v>
      </x:c>
      <x:c r="AB179" s="96" t="n">
        <x:f>IFERROR(IF(ISBLANK(INDEX('Long_TCAD'!$K$2:$K$176,MATCH(B179,'Long_TCAD'!$A$2:$A$176,0))),"",INDEX('Long_TCAD'!$K$2:$K$176,MATCH(B179,'Long_TCAD'!$A$2:$A$176,0))),"")</x:f>
        <x:v>5.313e-16</x:v>
      </x:c>
      <x:c r="AC179" s="95" t="n">
        <x:f>IF(OR(NOT(ISNUMBER(AA179)),NOT(ISNUMBER(AB179))),"",AA179/AB179)</x:f>
        <x:v>258234519104.08432</x:v>
      </x:c>
      <x:c r="AD179" s="93" t="n">
        <x:f>IF(NOT(ISNUMBER(Y179)),"",ABS(Y179-T179)*1000)</x:f>
        <x:v>2.0333333333328873</x:v>
      </x:c>
      <x:c r="AE179" s="93" t="n">
        <x:f>IF(NOT(ISNUMBER(Z179)),"",ABS(Z179-U179))</x:f>
        <x:v>0.20546656914038408</x:v>
      </x:c>
      <x:c r="AF179" s="93" t="n">
        <x:f>IF(NOT(ISNUMBER(AA179)),"",ABS(LOG10(AA179)-LOG10(V179)))</x:f>
        <x:v>0.005696281619690158</x:v>
      </x:c>
      <x:c r="AG179" s="93" t="n">
        <x:f>IF(NOT(ISNUMBER(AB179)),"",ABS(LOG10(AB179)-LOG10(W179)))</x:f>
        <x:v>0.2366972103126006</x:v>
      </x:c>
      <x:c r="AH179" s="93" t="n">
        <x:f>IF(NOT(ISNUMBER(AC179)),"",ABS(LOG10(AC179)-LOG10(X179)))</x:f>
        <x:v>0.23100092869289846</x:v>
      </x:c>
      <x:c r="AI179" s="85" t="str">
        <x:f>IF(OR(NOT(ISNUMBER(Y179)),NOT(ISNUMBER(Z179)),NOT(ISNUMBER(AA179)),NOT(ISNUMBER(AB179))),"",IF(AND(Y179&gt;=0.3,Y179&lt;=1.2,Z179&lt;=200,AA179&gt;=1E-4,AB179&lt;=1E-6),"PASS","FAIL"))</x:f>
        <x:v>PASS</x:v>
      </x:c>
      <x:c r="AJ179" s="85" t="str"/>
    </x:row>
    <x:row r="180">
      <x:c r="A180" s="85" t="str">
        <x:v>L1000-29</x:v>
      </x:c>
      <x:c r="B180" s="85" t="str">
        <x:v>LR162</x:v>
      </x:c>
      <x:c r="C180" s="93" t="n">
        <x:v>1</x:v>
      </x:c>
      <x:c r="D180" s="93" t="str">
        <x:v>Practical</x:v>
      </x:c>
      <x:c r="E180" s="93" t="n">
        <x:v>1</x:v>
      </x:c>
      <x:c r="F180" s="94" t="n">
        <x:v>424308</x:v>
      </x:c>
      <x:c r="G180" s="93" t="n">
        <x:v>0.8820760866320612</x:v>
      </x:c>
      <x:c r="H180" s="93" t="n">
        <x:v>83.55094125851046</x:v>
      </x:c>
      <x:c r="I180" s="95" t="n">
        <x:v>0.00016196199902680235</x:v>
      </x:c>
      <x:c r="J180" s="95" t="n">
        <x:v>5.870462646989605e-16</x:v>
      </x:c>
      <x:c r="K180" s="95" t="n">
        <x:v>275893074815.5889</x:v>
      </x:c>
      <x:c r="L180" s="95" t="n">
        <x:v>51790720256671.09</x:v>
      </x:c>
      <x:c r="M180" s="95" t="n">
        <x:v>60.78623611513149</x:v>
      </x:c>
      <x:c r="N180" s="95" t="n">
        <x:v>529535997941475700</x:v>
      </x:c>
      <x:c r="O180" s="95" t="n">
        <x:v>30.888390528742185</x:v>
      </x:c>
      <x:c r="P180" s="93"/>
      <x:c r="Q180" s="95"/>
      <x:c r="R180" s="95"/>
      <x:c r="S180" s="97" t="n">
        <x:v>1</x:v>
      </x:c>
      <x:c r="T180" s="93" t="n">
        <x:v>0.8740099999999962</x:v>
      </x:c>
      <x:c r="U180" s="98" t="n">
        <x:v>85.65438390407004</x:v>
      </x:c>
      <x:c r="V180" s="95" t="n">
        <x:v>0.00014906966112363524</x:v>
      </x:c>
      <x:c r="W180" s="95" t="n">
        <x:v>5.762703277788549e-16</x:v>
      </x:c>
      <x:c r="X180" s="95" t="n">
        <x:v>258680091508.79114</x:v>
      </x:c>
      <x:c r="Y180" s="99" t="n">
        <x:f>IFERROR(IF(ISBLANK(INDEX('Long_TCAD'!$H$2:$H$176,MATCH(B180,'Long_TCAD'!$A$2:$A$176,0))),"",INDEX('Long_TCAD'!$H$2:$H$176,MATCH(B180,'Long_TCAD'!$A$2:$A$176,0))),"")</x:f>
        <x:v>0.742</x:v>
      </x:c>
      <x:c r="Z180" s="100" t="n">
        <x:f>IFERROR(IF(ISBLANK(INDEX('Long_TCAD'!$I$2:$I$176,MATCH(B180,'Long_TCAD'!$A$2:$A$176,0))),"",INDEX('Long_TCAD'!$I$2:$I$176,MATCH(B180,'Long_TCAD'!$A$2:$A$176,0))),"")</x:f>
        <x:v>81.967</x:v>
      </x:c>
      <x:c r="AA180" s="96" t="n">
        <x:f>IFERROR(IF(ISBLANK(INDEX('Long_TCAD'!$J$2:$J$176,MATCH(B180,'Long_TCAD'!$A$2:$A$176,0))),"",INDEX('Long_TCAD'!$J$2:$J$176,MATCH(B180,'Long_TCAD'!$A$2:$A$176,0))),"")</x:f>
        <x:v>0.0001709</x:v>
      </x:c>
      <x:c r="AB180" s="96" t="n">
        <x:f>IFERROR(IF(ISBLANK(INDEX('Long_TCAD'!$K$2:$K$176,MATCH(B180,'Long_TCAD'!$A$2:$A$176,0))),"",INDEX('Long_TCAD'!$K$2:$K$176,MATCH(B180,'Long_TCAD'!$A$2:$A$176,0))),"")</x:f>
        <x:v>1.146e-14</x:v>
      </x:c>
      <x:c r="AC180" s="95" t="n">
        <x:f>IF(OR(NOT(ISNUMBER(AA180)),NOT(ISNUMBER(AB180))),"",AA180/AB180)</x:f>
        <x:v>14912739965.095987</x:v>
      </x:c>
      <x:c r="AD180" s="93" t="n">
        <x:f>IF(NOT(ISNUMBER(Y180)),"",ABS(Y180-T180)*1000)</x:f>
        <x:v>132.00999999999618</x:v>
      </x:c>
      <x:c r="AE180" s="93" t="n">
        <x:f>IF(NOT(ISNUMBER(Z180)),"",ABS(Z180-U180))</x:f>
        <x:v>3.687383904070046</x:v>
      </x:c>
      <x:c r="AF180" s="93" t="n">
        <x:f>IF(NOT(ISNUMBER(AA180)),"",ABS(LOG10(AA180)-LOG10(V180)))</x:f>
        <x:v>0.05935279852530018</x:v>
      </x:c>
      <x:c r="AG180" s="93" t="n">
        <x:f>IF(NOT(ISNUMBER(AB180)),"",ABS(LOG10(AB180)-LOG10(W180)))</x:f>
        <x:v>1.2985583593439003</x:v>
      </x:c>
      <x:c r="AH180" s="93" t="n">
        <x:f>IF(NOT(ISNUMBER(AC180)),"",ABS(LOG10(AC180)-LOG10(X180)))</x:f>
        <x:v>1.2392055608185988</x:v>
      </x:c>
      <x:c r="AI180" s="85" t="str">
        <x:f>IF(OR(NOT(ISNUMBER(Y180)),NOT(ISNUMBER(Z180)),NOT(ISNUMBER(AA180)),NOT(ISNUMBER(AB180))),"",IF(AND(Y180&gt;=0.3,Y180&lt;=1.2,Z180&lt;=200,AA180&gt;=1E-4,AB180&lt;=1E-6),"PASS","FAIL"))</x:f>
        <x:v>PASS</x:v>
      </x:c>
      <x:c r="AJ180" s="85" t="str"/>
    </x:row>
    <x:row r="181">
      <x:c r="A181" s="85" t="str">
        <x:v>L1000-30</x:v>
      </x:c>
      <x:c r="B181" s="85" t="str">
        <x:v>LR163</x:v>
      </x:c>
      <x:c r="C181" s="93" t="n">
        <x:v>1</x:v>
      </x:c>
      <x:c r="D181" s="93" t="str">
        <x:v>Practical</x:v>
      </x:c>
      <x:c r="E181" s="93" t="n">
        <x:v>1</x:v>
      </x:c>
      <x:c r="F181" s="94" t="n">
        <x:v>412024</x:v>
      </x:c>
      <x:c r="G181" s="93" t="n">
        <x:v>0.8840105224247784</x:v>
      </x:c>
      <x:c r="H181" s="93" t="n">
        <x:v>86.35357295469846</x:v>
      </x:c>
      <x:c r="I181" s="95" t="n">
        <x:v>0.0001459729566550915</x:v>
      </x:c>
      <x:c r="J181" s="95" t="n">
        <x:v>4.208559738547314e-16</x:v>
      </x:c>
      <x:c r="K181" s="95" t="n">
        <x:v>346847771502.65094</x:v>
      </x:c>
      <x:c r="L181" s="95" t="n">
        <x:v>859280666059570.8</x:v>
      </x:c>
      <x:c r="M181" s="95" t="n">
        <x:v>37.041189877489785</x:v>
      </x:c>
      <x:c r="N181" s="95" t="n">
        <x:v>49486740087029290</x:v>
      </x:c>
      <x:c r="O181" s="95" t="n">
        <x:v>32.63576106831723</x:v>
      </x:c>
      <x:c r="P181" s="93"/>
      <x:c r="Q181" s="95"/>
      <x:c r="R181" s="95"/>
      <x:c r="S181" s="97" t="n">
        <x:v>1</x:v>
      </x:c>
      <x:c r="T181" s="93" t="n">
        <x:v>0.8872066666666677</x:v>
      </x:c>
      <x:c r="U181" s="98" t="n">
        <x:v>86.4770815821544</x:v>
      </x:c>
      <x:c r="V181" s="95" t="n">
        <x:v>0.0001410553291248117</x:v>
      </x:c>
      <x:c r="W181" s="95" t="n">
        <x:v>4.20841479729012e-16</x:v>
      </x:c>
      <x:c r="X181" s="95" t="n">
        <x:v>335174491867.1989</x:v>
      </x:c>
      <x:c r="Y181" s="99" t="n">
        <x:f>IFERROR(IF(ISBLANK(INDEX('Long_TCAD'!$H$2:$H$176,MATCH(B181,'Long_TCAD'!$A$2:$A$176,0))),"",INDEX('Long_TCAD'!$H$2:$H$176,MATCH(B181,'Long_TCAD'!$A$2:$A$176,0))),"")</x:f>
        <x:v>0.839</x:v>
      </x:c>
      <x:c r="Z181" s="100" t="n">
        <x:f>IFERROR(IF(ISBLANK(INDEX('Long_TCAD'!$I$2:$I$176,MATCH(B181,'Long_TCAD'!$A$2:$A$176,0))),"",INDEX('Long_TCAD'!$I$2:$I$176,MATCH(B181,'Long_TCAD'!$A$2:$A$176,0))),"")</x:f>
        <x:v>84.242</x:v>
      </x:c>
      <x:c r="AA181" s="96" t="n">
        <x:f>IFERROR(IF(ISBLANK(INDEX('Long_TCAD'!$J$2:$J$176,MATCH(B181,'Long_TCAD'!$A$2:$A$176,0))),"",INDEX('Long_TCAD'!$J$2:$J$176,MATCH(B181,'Long_TCAD'!$A$2:$A$176,0))),"")</x:f>
        <x:v>0.0001506</x:v>
      </x:c>
      <x:c r="AB181" s="96" t="n">
        <x:f>IFERROR(IF(ISBLANK(INDEX('Long_TCAD'!$K$2:$K$176,MATCH(B181,'Long_TCAD'!$A$2:$A$176,0))),"",INDEX('Long_TCAD'!$K$2:$K$176,MATCH(B181,'Long_TCAD'!$A$2:$A$176,0))),"")</x:f>
        <x:v>7.878e-16</x:v>
      </x:c>
      <x:c r="AC181" s="95" t="n">
        <x:f>IF(OR(NOT(ISNUMBER(AA181)),NOT(ISNUMBER(AB181))),"",AA181/AB181)</x:f>
        <x:v>191165270373.19116</x:v>
      </x:c>
      <x:c r="AD181" s="93" t="n">
        <x:f>IF(NOT(ISNUMBER(Y181)),"",ABS(Y181-T181)*1000)</x:f>
        <x:v>48.20666666666773</x:v>
      </x:c>
      <x:c r="AE181" s="93" t="n">
        <x:f>IF(NOT(ISNUMBER(Z181)),"",ABS(Z181-U181))</x:f>
        <x:v>2.2350815821543932</x:v>
      </x:c>
      <x:c r="AF181" s="93" t="n">
        <x:f>IF(NOT(ISNUMBER(AA181)),"",ABS(LOG10(AA181)-LOG10(V181)))</x:f>
        <x:v>0.02843547325008</x:v>
      </x:c>
      <x:c r="AG181" s="93" t="n">
        <x:f>IF(NOT(ISNUMBER(AB181)),"",ABS(LOG10(AB181)-LOG10(W181)))</x:f>
        <x:v>0.2722974375099003</x:v>
      </x:c>
      <x:c r="AH181" s="93" t="n">
        <x:f>IF(NOT(ISNUMBER(AC181)),"",ABS(LOG10(AC181)-LOG10(X181)))</x:f>
        <x:v>0.2438619642597999</x:v>
      </x:c>
      <x:c r="AI181" s="85" t="str">
        <x:f>IF(OR(NOT(ISNUMBER(Y181)),NOT(ISNUMBER(Z181)),NOT(ISNUMBER(AA181)),NOT(ISNUMBER(AB181))),"",IF(AND(Y181&gt;=0.3,Y181&lt;=1.2,Z181&lt;=200,AA181&gt;=1E-4,AB181&lt;=1E-6),"PASS","FAIL"))</x:f>
        <x:v>PASS</x:v>
      </x:c>
      <x:c r="AJ181" s="85" t="str"/>
    </x:row>
    <x:row r="182">
      <x:c r="A182" s="85" t="str">
        <x:v>L1000-31</x:v>
      </x:c>
      <x:c r="B182" s="85" t="str">
        <x:v>LR164</x:v>
      </x:c>
      <x:c r="C182" s="93" t="n">
        <x:v>1</x:v>
      </x:c>
      <x:c r="D182" s="93" t="str">
        <x:v>Practical</x:v>
      </x:c>
      <x:c r="E182" s="93" t="n">
        <x:v>1</x:v>
      </x:c>
      <x:c r="F182" s="94" t="n">
        <x:v>428557</x:v>
      </x:c>
      <x:c r="G182" s="93" t="n">
        <x:v>0.887</x:v>
      </x:c>
      <x:c r="H182" s="93" t="n">
        <x:v>87.26378901789296</x:v>
      </x:c>
      <x:c r="I182" s="95" t="n">
        <x:v>0.0001567377311160734</x:v>
      </x:c>
      <x:c r="J182" s="95" t="n">
        <x:v>5.153308570558038e-16</x:v>
      </x:c>
      <x:c r="K182" s="95" t="n">
        <x:v>304149710753.88306</x:v>
      </x:c>
      <x:c r="L182" s="95" t="n">
        <x:v>313840234000.7839</x:v>
      </x:c>
      <x:c r="M182" s="95" t="n">
        <x:v>61.76382484412846</x:v>
      </x:c>
      <x:c r="N182" s="95" t="n">
        <x:v>590345010708170800</x:v>
      </x:c>
      <x:c r="O182" s="95" t="n">
        <x:v>17.564958730727785</x:v>
      </x:c>
      <x:c r="P182" s="93"/>
      <x:c r="Q182" s="95"/>
      <x:c r="R182" s="95"/>
      <x:c r="S182" s="97" t="n">
        <x:v>1</x:v>
      </x:c>
      <x:c r="T182" s="93" t="n">
        <x:v>0.882453333333336</x:v>
      </x:c>
      <x:c r="U182" s="98" t="n">
        <x:v>87.60597096275384</x:v>
      </x:c>
      <x:c r="V182" s="95" t="n">
        <x:v>0.00014630750794586224</x:v>
      </x:c>
      <x:c r="W182" s="95" t="n">
        <x:v>5.137466470886607e-16</x:v>
      </x:c>
      <x:c r="X182" s="95" t="n">
        <x:v>284785329062.4259</x:v>
      </x:c>
      <x:c r="Y182" s="99" t="n">
        <x:f>IFERROR(IF(ISBLANK(INDEX('Long_TCAD'!$H$2:$H$176,MATCH(B182,'Long_TCAD'!$A$2:$A$176,0))),"",INDEX('Long_TCAD'!$H$2:$H$176,MATCH(B182,'Long_TCAD'!$A$2:$A$176,0))),"")</x:f>
        <x:v>0.885</x:v>
      </x:c>
      <x:c r="Z182" s="100" t="n">
        <x:f>IFERROR(IF(ISBLANK(INDEX('Long_TCAD'!$I$2:$I$176,MATCH(B182,'Long_TCAD'!$A$2:$A$176,0))),"",INDEX('Long_TCAD'!$I$2:$I$176,MATCH(B182,'Long_TCAD'!$A$2:$A$176,0))),"")</x:f>
        <x:v>86.658</x:v>
      </x:c>
      <x:c r="AA182" s="96" t="n">
        <x:f>IFERROR(IF(ISBLANK(INDEX('Long_TCAD'!$J$2:$J$176,MATCH(B182,'Long_TCAD'!$A$2:$A$176,0))),"",INDEX('Long_TCAD'!$J$2:$J$176,MATCH(B182,'Long_TCAD'!$A$2:$A$176,0))),"")</x:f>
        <x:v>0.0001413</x:v>
      </x:c>
      <x:c r="AB182" s="96" t="n">
        <x:f>IFERROR(IF(ISBLANK(INDEX('Long_TCAD'!$K$2:$K$176,MATCH(B182,'Long_TCAD'!$A$2:$A$176,0))),"",INDEX('Long_TCAD'!$K$2:$K$176,MATCH(B182,'Long_TCAD'!$A$2:$A$176,0))),"")</x:f>
        <x:v>4.47e-16</x:v>
      </x:c>
      <x:c r="AC182" s="95" t="n">
        <x:f>IF(OR(NOT(ISNUMBER(AA182)),NOT(ISNUMBER(AB182))),"",AA182/AB182)</x:f>
        <x:v>316107382550.3356</x:v>
      </x:c>
      <x:c r="AD182" s="93" t="n">
        <x:f>IF(NOT(ISNUMBER(Y182)),"",ABS(Y182-T182)*1000)</x:f>
        <x:v>2.5466666666640325</x:v>
      </x:c>
      <x:c r="AE182" s="93" t="n">
        <x:f>IF(NOT(ISNUMBER(Z182)),"",ABS(Z182-U182))</x:f>
        <x:v>0.9479709627538426</x:v>
      </x:c>
      <x:c r="AF182" s="93" t="n">
        <x:f>IF(NOT(ISNUMBER(AA182)),"",ABS(LOG10(AA182)-LOG10(V182)))</x:f>
        <x:v>0.015124451192639832</x:v>
      </x:c>
      <x:c r="AG182" s="93" t="n">
        <x:f>IF(NOT(ISNUMBER(AB182)),"",ABS(LOG10(AB182)-LOG10(W182)))</x:f>
        <x:v>0.06044147738600003</x:v>
      </x:c>
      <x:c r="AH182" s="93" t="n">
        <x:f>IF(NOT(ISNUMBER(AC182)),"",ABS(LOG10(AC182)-LOG10(X182)))</x:f>
        <x:v>0.045317026193298915</x:v>
      </x:c>
      <x:c r="AI182" s="85" t="str">
        <x:f>IF(OR(NOT(ISNUMBER(Y182)),NOT(ISNUMBER(Z182)),NOT(ISNUMBER(AA182)),NOT(ISNUMBER(AB182))),"",IF(AND(Y182&gt;=0.3,Y182&lt;=1.2,Z182&lt;=200,AA182&gt;=1E-4,AB182&lt;=1E-6),"PASS","FAIL"))</x:f>
        <x:v>PASS</x:v>
      </x:c>
      <x:c r="AJ182" s="85" t="str"/>
    </x:row>
    <x:row r="183">
      <x:c r="A183" s="85" t="str">
        <x:v>L1000-32</x:v>
      </x:c>
      <x:c r="B183" s="85" t="str">
        <x:v>LR146</x:v>
      </x:c>
      <x:c r="C183" s="93" t="n">
        <x:v>1</x:v>
      </x:c>
      <x:c r="D183" s="93" t="str">
        <x:v>Practical</x:v>
      </x:c>
      <x:c r="E183" s="93" t="n">
        <x:v>1</x:v>
      </x:c>
      <x:c r="F183" s="94" t="n">
        <x:v>430651</x:v>
      </x:c>
      <x:c r="G183" s="93" t="n">
        <x:v>0.8814612507793141</x:v>
      </x:c>
      <x:c r="H183" s="93" t="n">
        <x:v>90.46379790639975</x:v>
      </x:c>
      <x:c r="I183" s="95" t="n">
        <x:v>0.00015459576334656108</x:v>
      </x:c>
      <x:c r="J183" s="95" t="n">
        <x:v>5.66235385856019e-16</x:v>
      </x:c>
      <x:c r="K183" s="95" t="n">
        <x:v>273023846986.96902</x:v>
      </x:c>
      <x:c r="L183" s="95" t="n">
        <x:v>606064265247986.1</x:v>
      </x:c>
      <x:c r="M183" s="95" t="n">
        <x:v>42.82020093429715</x:v>
      </x:c>
      <x:c r="N183" s="95" t="n">
        <x:v>956839205112995000</x:v>
      </x:c>
      <x:c r="O183" s="95" t="n">
        <x:v>24.760085704668278</x:v>
      </x:c>
      <x:c r="P183" s="93"/>
      <x:c r="Q183" s="95"/>
      <x:c r="R183" s="95"/>
      <x:c r="S183" s="97" t="n">
        <x:v>0.9966666666666667</x:v>
      </x:c>
      <x:c r="T183" s="93" t="n">
        <x:v>0.8849699999999975</x:v>
      </x:c>
      <x:c r="U183" s="98" t="n">
        <x:v>89.72149986047005</x:v>
      </x:c>
      <x:c r="V183" s="95" t="n">
        <x:v>0.00014548202330320312</x:v>
      </x:c>
      <x:c r="W183" s="95" t="n">
        <x:v>5.653863389489735e-16</x:v>
      </x:c>
      <x:c r="X183" s="95" t="n">
        <x:v>257314358839.3864</x:v>
      </x:c>
      <x:c r="Y183" s="99" t="n">
        <x:f>IFERROR(IF(ISBLANK(INDEX('Long_TCAD'!$H$2:$H$176,MATCH(B183,'Long_TCAD'!$A$2:$A$176,0))),"",INDEX('Long_TCAD'!$H$2:$H$176,MATCH(B183,'Long_TCAD'!$A$2:$A$176,0))),"")</x:f>
        <x:v>0.883</x:v>
      </x:c>
      <x:c r="Z183" s="100" t="n">
        <x:f>IFERROR(IF(ISBLANK(INDEX('Long_TCAD'!$I$2:$I$176,MATCH(B183,'Long_TCAD'!$A$2:$A$176,0))),"",INDEX('Long_TCAD'!$I$2:$I$176,MATCH(B183,'Long_TCAD'!$A$2:$A$176,0))),"")</x:f>
        <x:v>86.129</x:v>
      </x:c>
      <x:c r="AA183" s="96" t="n">
        <x:f>IFERROR(IF(ISBLANK(INDEX('Long_TCAD'!$J$2:$J$176,MATCH(B183,'Long_TCAD'!$A$2:$A$176,0))),"",INDEX('Long_TCAD'!$J$2:$J$176,MATCH(B183,'Long_TCAD'!$A$2:$A$176,0))),"")</x:f>
        <x:v>0.0001493</x:v>
      </x:c>
      <x:c r="AB183" s="96" t="n">
        <x:f>IFERROR(IF(ISBLANK(INDEX('Long_TCAD'!$K$2:$K$176,MATCH(B183,'Long_TCAD'!$A$2:$A$176,0))),"",INDEX('Long_TCAD'!$K$2:$K$176,MATCH(B183,'Long_TCAD'!$A$2:$A$176,0))),"")</x:f>
        <x:v>6.154e-16</x:v>
      </x:c>
      <x:c r="AC183" s="95" t="n">
        <x:f>IF(OR(NOT(ISNUMBER(AA183)),NOT(ISNUMBER(AB183))),"",AA183/AB183)</x:f>
        <x:v>242606434839.12903</x:v>
      </x:c>
      <x:c r="AD183" s="93" t="n">
        <x:f>IF(NOT(ISNUMBER(Y183)),"",ABS(Y183-T183)*1000)</x:f>
        <x:v>1.9699999999974738</x:v>
      </x:c>
      <x:c r="AE183" s="93" t="n">
        <x:f>IF(NOT(ISNUMBER(Z183)),"",ABS(Z183-U183))</x:f>
        <x:v>3.592499860470042</x:v>
      </x:c>
      <x:c r="AF183" s="93" t="n">
        <x:f>IF(NOT(ISNUMBER(AA183)),"",ABS(LOG10(AA183)-LOG10(V183)))</x:f>
        <x:v>0.01125047531413026</x:v>
      </x:c>
      <x:c r="AG183" s="93" t="n">
        <x:f>IF(NOT(ISNUMBER(AB183)),"",ABS(LOG10(AB183)-LOG10(W183)))</x:f>
        <x:v>0.03681218119749907</x:v>
      </x:c>
      <x:c r="AH183" s="93" t="n">
        <x:f>IF(NOT(ISNUMBER(AC183)),"",ABS(LOG10(AC183)-LOG10(X183)))</x:f>
        <x:v>0.02556170588340123</x:v>
      </x:c>
      <x:c r="AI183" s="85" t="str">
        <x:f>IF(OR(NOT(ISNUMBER(Y183)),NOT(ISNUMBER(Z183)),NOT(ISNUMBER(AA183)),NOT(ISNUMBER(AB183))),"",IF(AND(Y183&gt;=0.3,Y183&lt;=1.2,Z183&lt;=200,AA183&gt;=1E-4,AB183&lt;=1E-6),"PASS","FAIL"))</x:f>
        <x:v>PASS</x:v>
      </x:c>
      <x:c r="AJ183" s="85" t="str"/>
    </x:row>
    <x:row r="184">
      <x:c r="A184" s="85" t="str">
        <x:v>L1000-33</x:v>
      </x:c>
      <x:c r="B184" s="85" t="str">
        <x:v>LR165</x:v>
      </x:c>
      <x:c r="C184" s="93" t="n">
        <x:v>1</x:v>
      </x:c>
      <x:c r="D184" s="93" t="str">
        <x:v>Practical</x:v>
      </x:c>
      <x:c r="E184" s="93" t="n">
        <x:v>1</x:v>
      </x:c>
      <x:c r="F184" s="94" t="n">
        <x:v>417414</x:v>
      </x:c>
      <x:c r="G184" s="93" t="n">
        <x:v>0.887</x:v>
      </x:c>
      <x:c r="H184" s="93" t="n">
        <x:v>91.69925634486432</x:v>
      </x:c>
      <x:c r="I184" s="95" t="n">
        <x:v>0.0001311</x:v>
      </x:c>
      <x:c r="J184" s="95" t="n">
        <x:v>6.170119264289333e-16</x:v>
      </x:c>
      <x:c r="K184" s="95" t="n">
        <x:v>212475633589.06958</x:v>
      </x:c>
      <x:c r="L184" s="95" t="n">
        <x:v>104187989939901.27</x:v>
      </x:c>
      <x:c r="M184" s="95" t="n">
        <x:v>53.81669018369497</x:v>
      </x:c>
      <x:c r="N184" s="95" t="n">
        <x:v>111793701923652.38</x:v>
      </x:c>
      <x:c r="O184" s="95" t="n">
        <x:v>24.424754966730617</x:v>
      </x:c>
      <x:c r="P184" s="93"/>
      <x:c r="Q184" s="95"/>
      <x:c r="R184" s="95"/>
      <x:c r="S184" s="97" t="n">
        <x:v>1</x:v>
      </x:c>
      <x:c r="T184" s="93" t="n">
        <x:v>0.879089999999997</x:v>
      </x:c>
      <x:c r="U184" s="98" t="n">
        <x:v>86.7684197374213</x:v>
      </x:c>
      <x:c r="V184" s="95" t="n">
        <x:v>0.000132294129790729</x:v>
      </x:c>
      <x:c r="W184" s="95" t="n">
        <x:v>6.2822291313126735e-16</x:v>
      </x:c>
      <x:c r="X184" s="95" t="n">
        <x:v>210584693785.41452</x:v>
      </x:c>
      <x:c r="Y184" s="99" t="n">
        <x:f>IFERROR(IF(ISBLANK(INDEX('Long_TCAD'!$H$2:$H$176,MATCH(B184,'Long_TCAD'!$A$2:$A$176,0))),"",INDEX('Long_TCAD'!$H$2:$H$176,MATCH(B184,'Long_TCAD'!$A$2:$A$176,0))),"")</x:f>
        <x:v>0.88</x:v>
      </x:c>
      <x:c r="Z184" s="100" t="n">
        <x:f>IFERROR(IF(ISBLANK(INDEX('Long_TCAD'!$I$2:$I$176,MATCH(B184,'Long_TCAD'!$A$2:$A$176,0))),"",INDEX('Long_TCAD'!$I$2:$I$176,MATCH(B184,'Long_TCAD'!$A$2:$A$176,0))),"")</x:f>
        <x:v>86.546</x:v>
      </x:c>
      <x:c r="AA184" s="96" t="n">
        <x:f>IFERROR(IF(ISBLANK(INDEX('Long_TCAD'!$J$2:$J$176,MATCH(B184,'Long_TCAD'!$A$2:$A$176,0))),"",INDEX('Long_TCAD'!$J$2:$J$176,MATCH(B184,'Long_TCAD'!$A$2:$A$176,0))),"")</x:f>
        <x:v>0.0001334</x:v>
      </x:c>
      <x:c r="AB184" s="96" t="n">
        <x:f>IFERROR(IF(ISBLANK(INDEX('Long_TCAD'!$K$2:$K$176,MATCH(B184,'Long_TCAD'!$A$2:$A$176,0))),"",INDEX('Long_TCAD'!$K$2:$K$176,MATCH(B184,'Long_TCAD'!$A$2:$A$176,0))),"")</x:f>
        <x:v>7.059e-16</x:v>
      </x:c>
      <x:c r="AC184" s="95" t="n">
        <x:f>IF(OR(NOT(ISNUMBER(AA184)),NOT(ISNUMBER(AB184))),"",AA184/AB184)</x:f>
        <x:v>188978608868.11163</x:v>
      </x:c>
      <x:c r="AD184" s="93" t="n">
        <x:f>IF(NOT(ISNUMBER(Y184)),"",ABS(Y184-T184)*1000)</x:f>
        <x:v>0.910000000002964</x:v>
      </x:c>
      <x:c r="AE184" s="93" t="n">
        <x:f>IF(NOT(ISNUMBER(Z184)),"",ABS(Z184-U184))</x:f>
        <x:v>0.22241973742129062</x:v>
      </x:c>
      <x:c r="AF184" s="93" t="n">
        <x:f>IF(NOT(ISNUMBER(AA184)),"",ABS(LOG10(AA184)-LOG10(V184)))</x:f>
        <x:v>0.003615255657989813</x:v>
      </x:c>
      <x:c r="AG184" s="93" t="n">
        <x:f>IF(NOT(ISNUMBER(AB184)),"",ABS(LOG10(AB184)-LOG10(W184)))</x:f>
        <x:v>0.050629409551499194</x:v>
      </x:c>
      <x:c r="AH184" s="93" t="n">
        <x:f>IF(NOT(ISNUMBER(AC184)),"",ABS(LOG10(AC184)-LOG10(X184)))</x:f>
        <x:v>0.04701415389349961</x:v>
      </x:c>
      <x:c r="AI184" s="85" t="str">
        <x:f>IF(OR(NOT(ISNUMBER(Y184)),NOT(ISNUMBER(Z184)),NOT(ISNUMBER(AA184)),NOT(ISNUMBER(AB184))),"",IF(AND(Y184&gt;=0.3,Y184&lt;=1.2,Z184&lt;=200,AA184&gt;=1E-4,AB184&lt;=1E-6),"PASS","FAIL"))</x:f>
        <x:v>PASS</x:v>
      </x:c>
      <x:c r="AJ184" s="85" t="str"/>
    </x:row>
    <x:row r="185">
      <x:c r="A185" s="85" t="str">
        <x:v>L1000-34</x:v>
      </x:c>
      <x:c r="B185" s="85" t="str">
        <x:v>LR138</x:v>
      </x:c>
      <x:c r="C185" s="93" t="n">
        <x:v>1</x:v>
      </x:c>
      <x:c r="D185" s="93" t="str">
        <x:v>Practical</x:v>
      </x:c>
      <x:c r="E185" s="93" t="n">
        <x:v>1</x:v>
      </x:c>
      <x:c r="F185" s="94" t="n">
        <x:v>430856</x:v>
      </x:c>
      <x:c r="G185" s="93" t="n">
        <x:v>0.8829637132587491</x:v>
      </x:c>
      <x:c r="H185" s="93" t="n">
        <x:v>83.492</x:v>
      </x:c>
      <x:c r="I185" s="95" t="n">
        <x:v>0.0001426155637017157</x:v>
      </x:c>
      <x:c r="J185" s="95" t="n">
        <x:v>5.448683105757856e-16</x:v>
      </x:c>
      <x:c r="K185" s="95" t="n">
        <x:v>261743178917.87054</x:v>
      </x:c>
      <x:c r="L185" s="95" t="n">
        <x:v>593600874511006.5</x:v>
      </x:c>
      <x:c r="M185" s="95" t="n">
        <x:v>12.057720853448618</x:v>
      </x:c>
      <x:c r="N185" s="95" t="n">
        <x:v>945806479380617900</x:v>
      </x:c>
      <x:c r="O185" s="95" t="n">
        <x:v>19.272615825844827</x:v>
      </x:c>
      <x:c r="P185" s="93"/>
      <x:c r="Q185" s="95"/>
      <x:c r="R185" s="95"/>
      <x:c r="S185" s="97" t="n">
        <x:v>1</x:v>
      </x:c>
      <x:c r="T185" s="93" t="n">
        <x:v>0.8829966666666699</x:v>
      </x:c>
      <x:c r="U185" s="98" t="n">
        <x:v>82.98092268233226</x:v>
      </x:c>
      <x:c r="V185" s="95" t="n">
        <x:v>0.00014660173058351632</x:v>
      </x:c>
      <x:c r="W185" s="95" t="n">
        <x:v>5.258150663890507e-16</x:v>
      </x:c>
      <x:c r="X185" s="95" t="n">
        <x:v>278808539265.1067</x:v>
      </x:c>
      <x:c r="Y185" s="99" t="n">
        <x:f>IFERROR(IF(ISBLANK(INDEX('Long_TCAD'!$H$2:$H$176,MATCH(B185,'Long_TCAD'!$A$2:$A$176,0))),"",INDEX('Long_TCAD'!$H$2:$H$176,MATCH(B185,'Long_TCAD'!$A$2:$A$176,0))),"")</x:f>
        <x:v>0.884</x:v>
      </x:c>
      <x:c r="Z185" s="100" t="n">
        <x:f>IFERROR(IF(ISBLANK(INDEX('Long_TCAD'!$I$2:$I$176,MATCH(B185,'Long_TCAD'!$A$2:$A$176,0))),"",INDEX('Long_TCAD'!$I$2:$I$176,MATCH(B185,'Long_TCAD'!$A$2:$A$176,0))),"")</x:f>
        <x:v>86.015</x:v>
      </x:c>
      <x:c r="AA185" s="96" t="n">
        <x:f>IFERROR(IF(ISBLANK(INDEX('Long_TCAD'!$J$2:$J$176,MATCH(B185,'Long_TCAD'!$A$2:$A$176,0))),"",INDEX('Long_TCAD'!$J$2:$J$176,MATCH(B185,'Long_TCAD'!$A$2:$A$176,0))),"")</x:f>
        <x:v>0.0001451</x:v>
      </x:c>
      <x:c r="AB185" s="96" t="n">
        <x:f>IFERROR(IF(ISBLANK(INDEX('Long_TCAD'!$K$2:$K$176,MATCH(B185,'Long_TCAD'!$A$2:$A$176,0))),"",INDEX('Long_TCAD'!$K$2:$K$176,MATCH(B185,'Long_TCAD'!$A$2:$A$176,0))),"")</x:f>
        <x:v>3.687e-16</x:v>
      </x:c>
      <x:c r="AC185" s="95" t="n">
        <x:f>IF(OR(NOT(ISNUMBER(AA185)),NOT(ISNUMBER(AB185))),"",AA185/AB185)</x:f>
        <x:v>393544887442.36505</x:v>
      </x:c>
      <x:c r="AD185" s="93" t="n">
        <x:f>IF(NOT(ISNUMBER(Y185)),"",ABS(Y185-T185)*1000)</x:f>
        <x:v>1.0033333333301364</x:v>
      </x:c>
      <x:c r="AE185" s="93" t="n">
        <x:f>IF(NOT(ISNUMBER(Z185)),"",ABS(Z185-U185))</x:f>
        <x:v>3.0340773176677374</x:v>
      </x:c>
      <x:c r="AF185" s="93" t="n">
        <x:f>IF(NOT(ISNUMBER(AA185)),"",ABS(LOG10(AA185)-LOG10(V185)))</x:f>
        <x:v>0.004471684596119907</x:v>
      </x:c>
      <x:c r="AG185" s="93" t="n">
        <x:f>IF(NOT(ISNUMBER(AB185)),"",ABS(LOG10(AB185)-LOG10(W185)))</x:f>
        <x:v>0.15415988835570005</x:v>
      </x:c>
      <x:c r="AH185" s="93" t="n">
        <x:f>IF(NOT(ISNUMBER(AC185)),"",ABS(LOG10(AC185)-LOG10(X185)))</x:f>
        <x:v>0.14968820375960057</x:v>
      </x:c>
      <x:c r="AI185" s="85" t="str">
        <x:f>IF(OR(NOT(ISNUMBER(Y185)),NOT(ISNUMBER(Z185)),NOT(ISNUMBER(AA185)),NOT(ISNUMBER(AB185))),"",IF(AND(Y185&gt;=0.3,Y185&lt;=1.2,Z185&lt;=200,AA185&gt;=1E-4,AB185&lt;=1E-6),"PASS","FAIL"))</x:f>
        <x:v>PASS</x:v>
      </x:c>
      <x:c r="AJ185" s="85" t="str"/>
    </x:row>
    <x:row r="186">
      <x:c r="A186" s="85" t="str">
        <x:v>L1000-35</x:v>
      </x:c>
      <x:c r="B186" s="85" t="str">
        <x:v>LR146</x:v>
      </x:c>
      <x:c r="C186" s="93" t="n">
        <x:v>1</x:v>
      </x:c>
      <x:c r="D186" s="93" t="str">
        <x:v>Practical</x:v>
      </x:c>
      <x:c r="E186" s="93" t="n">
        <x:v>1</x:v>
      </x:c>
      <x:c r="F186" s="94" t="n">
        <x:v>426754</x:v>
      </x:c>
      <x:c r="G186" s="93" t="n">
        <x:v>0.8866483625293262</x:v>
      </x:c>
      <x:c r="H186" s="93" t="n">
        <x:v>90.83125162117548</x:v>
      </x:c>
      <x:c r="I186" s="95" t="n">
        <x:v>0.00015507746502559048</x:v>
      </x:c>
      <x:c r="J186" s="95" t="n">
        <x:v>5.829510851067178e-16</x:v>
      </x:c>
      <x:c r="K186" s="95" t="n">
        <x:v>266021402116.78525</x:v>
      </x:c>
      <x:c r="L186" s="95" t="n">
        <x:v>606064265247986.1</x:v>
      </x:c>
      <x:c r="M186" s="95" t="n">
        <x:v>42.82020093429715</x:v>
      </x:c>
      <x:c r="N186" s="95" t="n">
        <x:v>956839205112995000</x:v>
      </x:c>
      <x:c r="O186" s="95" t="n">
        <x:v>24.760085704668278</x:v>
      </x:c>
      <x:c r="P186" s="93"/>
      <x:c r="Q186" s="95"/>
      <x:c r="R186" s="95"/>
      <x:c r="S186" s="97" t="n">
        <x:v>0.9966666666666667</x:v>
      </x:c>
      <x:c r="T186" s="93" t="n">
        <x:v>0.8849699999999975</x:v>
      </x:c>
      <x:c r="U186" s="98" t="n">
        <x:v>89.72149986047005</x:v>
      </x:c>
      <x:c r="V186" s="95" t="n">
        <x:v>0.00014548202330320312</x:v>
      </x:c>
      <x:c r="W186" s="95" t="n">
        <x:v>5.653863389489735e-16</x:v>
      </x:c>
      <x:c r="X186" s="95" t="n">
        <x:v>257314358839.3864</x:v>
      </x:c>
      <x:c r="Y186" s="99" t="n">
        <x:f>IFERROR(IF(ISBLANK(INDEX('Long_TCAD'!$H$2:$H$176,MATCH(B186,'Long_TCAD'!$A$2:$A$176,0))),"",INDEX('Long_TCAD'!$H$2:$H$176,MATCH(B186,'Long_TCAD'!$A$2:$A$176,0))),"")</x:f>
        <x:v>0.883</x:v>
      </x:c>
      <x:c r="Z186" s="100" t="n">
        <x:f>IFERROR(IF(ISBLANK(INDEX('Long_TCAD'!$I$2:$I$176,MATCH(B186,'Long_TCAD'!$A$2:$A$176,0))),"",INDEX('Long_TCAD'!$I$2:$I$176,MATCH(B186,'Long_TCAD'!$A$2:$A$176,0))),"")</x:f>
        <x:v>86.129</x:v>
      </x:c>
      <x:c r="AA186" s="96" t="n">
        <x:f>IFERROR(IF(ISBLANK(INDEX('Long_TCAD'!$J$2:$J$176,MATCH(B186,'Long_TCAD'!$A$2:$A$176,0))),"",INDEX('Long_TCAD'!$J$2:$J$176,MATCH(B186,'Long_TCAD'!$A$2:$A$176,0))),"")</x:f>
        <x:v>0.0001493</x:v>
      </x:c>
      <x:c r="AB186" s="96" t="n">
        <x:f>IFERROR(IF(ISBLANK(INDEX('Long_TCAD'!$K$2:$K$176,MATCH(B186,'Long_TCAD'!$A$2:$A$176,0))),"",INDEX('Long_TCAD'!$K$2:$K$176,MATCH(B186,'Long_TCAD'!$A$2:$A$176,0))),"")</x:f>
        <x:v>6.154e-16</x:v>
      </x:c>
      <x:c r="AC186" s="95" t="n">
        <x:f>IF(OR(NOT(ISNUMBER(AA186)),NOT(ISNUMBER(AB186))),"",AA186/AB186)</x:f>
        <x:v>242606434839.12903</x:v>
      </x:c>
      <x:c r="AD186" s="93" t="n">
        <x:f>IF(NOT(ISNUMBER(Y186)),"",ABS(Y186-T186)*1000)</x:f>
        <x:v>1.9699999999974738</x:v>
      </x:c>
      <x:c r="AE186" s="93" t="n">
        <x:f>IF(NOT(ISNUMBER(Z186)),"",ABS(Z186-U186))</x:f>
        <x:v>3.592499860470042</x:v>
      </x:c>
      <x:c r="AF186" s="93" t="n">
        <x:f>IF(NOT(ISNUMBER(AA186)),"",ABS(LOG10(AA186)-LOG10(V186)))</x:f>
        <x:v>0.01125047531413026</x:v>
      </x:c>
      <x:c r="AG186" s="93" t="n">
        <x:f>IF(NOT(ISNUMBER(AB186)),"",ABS(LOG10(AB186)-LOG10(W186)))</x:f>
        <x:v>0.03681218119749907</x:v>
      </x:c>
      <x:c r="AH186" s="93" t="n">
        <x:f>IF(NOT(ISNUMBER(AC186)),"",ABS(LOG10(AC186)-LOG10(X186)))</x:f>
        <x:v>0.02556170588340123</x:v>
      </x:c>
      <x:c r="AI186" s="85" t="str">
        <x:f>IF(OR(NOT(ISNUMBER(Y186)),NOT(ISNUMBER(Z186)),NOT(ISNUMBER(AA186)),NOT(ISNUMBER(AB186))),"",IF(AND(Y186&gt;=0.3,Y186&lt;=1.2,Z186&lt;=200,AA186&gt;=1E-4,AB186&lt;=1E-6),"PASS","FAIL"))</x:f>
        <x:v>PASS</x:v>
      </x:c>
      <x:c r="AJ186" s="85" t="str"/>
    </x:row>
    <x:row r="187">
      <x:c r="A187" s="85" t="str">
        <x:v>L1000-36</x:v>
      </x:c>
      <x:c r="B187" s="85" t="str">
        <x:v>LR166</x:v>
      </x:c>
      <x:c r="C187" s="93" t="n">
        <x:v>1</x:v>
      </x:c>
      <x:c r="D187" s="93" t="str">
        <x:v>Practical</x:v>
      </x:c>
      <x:c r="E187" s="93" t="n">
        <x:v>1</x:v>
      </x:c>
      <x:c r="F187" s="94" t="n">
        <x:v>419381</x:v>
      </x:c>
      <x:c r="G187" s="93" t="n">
        <x:v>0.8867288215403407</x:v>
      </x:c>
      <x:c r="H187" s="93" t="n">
        <x:v>90.46784997681588</x:v>
      </x:c>
      <x:c r="I187" s="95" t="n">
        <x:v>0.0001311</x:v>
      </x:c>
      <x:c r="J187" s="95" t="n">
        <x:v>4.419140270554457e-16</x:v>
      </x:c>
      <x:c r="K187" s="95" t="n">
        <x:v>296664038644.6734</x:v>
      </x:c>
      <x:c r="L187" s="95" t="n">
        <x:v>923253761172689.2</x:v>
      </x:c>
      <x:c r="M187" s="95" t="n">
        <x:v>27.904665469042172</x:v>
      </x:c>
      <x:c r="N187" s="95" t="n">
        <x:v>114988208960701.58</x:v>
      </x:c>
      <x:c r="O187" s="95" t="n">
        <x:v>23.5777417122399</x:v>
      </x:c>
      <x:c r="P187" s="93"/>
      <x:c r="Q187" s="95"/>
      <x:c r="R187" s="95"/>
      <x:c r="S187" s="97" t="n">
        <x:v>0.9033333333333333</x:v>
      </x:c>
      <x:c r="T187" s="93" t="n">
        <x:v>0.8851733333333298</x:v>
      </x:c>
      <x:c r="U187" s="98" t="n">
        <x:v>88.29482219679572</x:v>
      </x:c>
      <x:c r="V187" s="95" t="n">
        <x:v>0.000138032792058573</x:v>
      </x:c>
      <x:c r="W187" s="95" t="n">
        <x:v>4.443842005098253e-16</x:v>
      </x:c>
      <x:c r="X187" s="95" t="n">
        <x:v>310615885758.79425</x:v>
      </x:c>
      <x:c r="Y187" s="99" t="n">
        <x:f>IFERROR(IF(ISBLANK(INDEX('Long_TCAD'!$H$2:$H$176,MATCH(B187,'Long_TCAD'!$A$2:$A$176,0))),"",INDEX('Long_TCAD'!$H$2:$H$176,MATCH(B187,'Long_TCAD'!$A$2:$A$176,0))),"")</x:f>
        <x:v>0.886</x:v>
      </x:c>
      <x:c r="Z187" s="100" t="n">
        <x:f>IFERROR(IF(ISBLANK(INDEX('Long_TCAD'!$I$2:$I$176,MATCH(B187,'Long_TCAD'!$A$2:$A$176,0))),"",INDEX('Long_TCAD'!$I$2:$I$176,MATCH(B187,'Long_TCAD'!$A$2:$A$176,0))),"")</x:f>
        <x:v>87.955</x:v>
      </x:c>
      <x:c r="AA187" s="96" t="n">
        <x:f>IFERROR(IF(ISBLANK(INDEX('Long_TCAD'!$J$2:$J$176,MATCH(B187,'Long_TCAD'!$A$2:$A$176,0))),"",INDEX('Long_TCAD'!$J$2:$J$176,MATCH(B187,'Long_TCAD'!$A$2:$A$176,0))),"")</x:f>
        <x:v>0.000138</x:v>
      </x:c>
      <x:c r="AB187" s="96" t="n">
        <x:f>IFERROR(IF(ISBLANK(INDEX('Long_TCAD'!$K$2:$K$176,MATCH(B187,'Long_TCAD'!$A$2:$A$176,0))),"",INDEX('Long_TCAD'!$K$2:$K$176,MATCH(B187,'Long_TCAD'!$A$2:$A$176,0))),"")</x:f>
        <x:v>5.032e-16</x:v>
      </x:c>
      <x:c r="AC187" s="95" t="n">
        <x:f>IF(OR(NOT(ISNUMBER(AA187)),NOT(ISNUMBER(AB187))),"",AA187/AB187)</x:f>
        <x:v>274244833068.3625</x:v>
      </x:c>
      <x:c r="AD187" s="93" t="n">
        <x:f>IF(NOT(ISNUMBER(Y187)),"",ABS(Y187-T187)*1000)</x:f>
        <x:v>0.826666666670195</x:v>
      </x:c>
      <x:c r="AE187" s="93" t="n">
        <x:f>IF(NOT(ISNUMBER(Z187)),"",ABS(Z187-U187))</x:f>
        <x:v>0.3398221967957227</x:v>
      </x:c>
      <x:c r="AF187" s="93" t="n">
        <x:f>IF(NOT(ISNUMBER(AA187)),"",ABS(LOG10(AA187)-LOG10(V187)))</x:f>
        <x:v>0.0001031863645497566</x:v>
      </x:c>
      <x:c r="AG187" s="93" t="n">
        <x:f>IF(NOT(ISNUMBER(AB187)),"",ABS(LOG10(AB187)-LOG10(W187)))</x:f>
        <x:v>0.053982022657500295</x:v>
      </x:c>
      <x:c r="AH187" s="93" t="n">
        <x:f>IF(NOT(ISNUMBER(AC187)),"",ABS(LOG10(AC187)-LOG10(X187)))</x:f>
        <x:v>0.054085209022101566</x:v>
      </x:c>
      <x:c r="AI187" s="85" t="str">
        <x:f>IF(OR(NOT(ISNUMBER(Y187)),NOT(ISNUMBER(Z187)),NOT(ISNUMBER(AA187)),NOT(ISNUMBER(AB187))),"",IF(AND(Y187&gt;=0.3,Y187&lt;=1.2,Z187&lt;=200,AA187&gt;=1E-4,AB187&lt;=1E-6),"PASS","FAIL"))</x:f>
        <x:v>PASS</x:v>
      </x:c>
      <x:c r="AJ187" s="85" t="str"/>
    </x:row>
    <x:row r="188">
      <x:c r="A188" s="85" t="str">
        <x:v>L1000-37</x:v>
      </x:c>
      <x:c r="B188" s="85" t="str">
        <x:v>LR167</x:v>
      </x:c>
      <x:c r="C188" s="93" t="n">
        <x:v>1</x:v>
      </x:c>
      <x:c r="D188" s="93" t="str">
        <x:v>Practical</x:v>
      </x:c>
      <x:c r="E188" s="93" t="n">
        <x:v>1</x:v>
      </x:c>
      <x:c r="F188" s="94" t="n">
        <x:v>431314</x:v>
      </x:c>
      <x:c r="G188" s="93" t="n">
        <x:v>0.887</x:v>
      </x:c>
      <x:c r="H188" s="93" t="n">
        <x:v>83.492</x:v>
      </x:c>
      <x:c r="I188" s="95" t="n">
        <x:v>0.00013430213816870693</x:v>
      </x:c>
      <x:c r="J188" s="95" t="n">
        <x:v>5.395782902693847e-16</x:v>
      </x:c>
      <x:c r="K188" s="95" t="n">
        <x:v>248902041817.98447</x:v>
      </x:c>
      <x:c r="L188" s="95" t="n">
        <x:v>16485803343690.09</x:v>
      </x:c>
      <x:c r="M188" s="95" t="n">
        <x:v>60.010488875201595</x:v>
      </x:c>
      <x:c r="N188" s="95" t="n">
        <x:v>517997481149347200</x:v>
      </x:c>
      <x:c r="O188" s="95" t="n">
        <x:v>24.603781948314523</x:v>
      </x:c>
      <x:c r="P188" s="93"/>
      <x:c r="Q188" s="95"/>
      <x:c r="R188" s="95"/>
      <x:c r="S188" s="97" t="n">
        <x:v>1</x:v>
      </x:c>
      <x:c r="T188" s="93" t="n">
        <x:v>0.8821866666666627</x:v>
      </x:c>
      <x:c r="U188" s="98" t="n">
        <x:v>85.97134222054747</x:v>
      </x:c>
      <x:c r="V188" s="95" t="n">
        <x:v>0.0001394110651987656</x:v>
      </x:c>
      <x:c r="W188" s="95" t="n">
        <x:v>5.398841059070416e-16</x:v>
      </x:c>
      <x:c r="X188" s="95" t="n">
        <x:v>258224058966.40656</x:v>
      </x:c>
      <x:c r="Y188" s="99" t="n">
        <x:f>IFERROR(IF(ISBLANK(INDEX('Long_TCAD'!$H$2:$H$176,MATCH(B188,'Long_TCAD'!$A$2:$A$176,0))),"",INDEX('Long_TCAD'!$H$2:$H$176,MATCH(B188,'Long_TCAD'!$A$2:$A$176,0))),"")</x:f>
        <x:v>0.883</x:v>
      </x:c>
      <x:c r="Z188" s="100" t="n">
        <x:f>IFERROR(IF(ISBLANK(INDEX('Long_TCAD'!$I$2:$I$176,MATCH(B188,'Long_TCAD'!$A$2:$A$176,0))),"",INDEX('Long_TCAD'!$I$2:$I$176,MATCH(B188,'Long_TCAD'!$A$2:$A$176,0))),"")</x:f>
        <x:v>85.979</x:v>
      </x:c>
      <x:c r="AA188" s="96" t="n">
        <x:f>IFERROR(IF(ISBLANK(INDEX('Long_TCAD'!$J$2:$J$176,MATCH(B188,'Long_TCAD'!$A$2:$A$176,0))),"",INDEX('Long_TCAD'!$J$2:$J$176,MATCH(B188,'Long_TCAD'!$A$2:$A$176,0))),"")</x:f>
        <x:v>0.0001477</x:v>
      </x:c>
      <x:c r="AB188" s="96" t="n">
        <x:f>IFERROR(IF(ISBLANK(INDEX('Long_TCAD'!$K$2:$K$176,MATCH(B188,'Long_TCAD'!$A$2:$A$176,0))),"",INDEX('Long_TCAD'!$K$2:$K$176,MATCH(B188,'Long_TCAD'!$A$2:$A$176,0))),"")</x:f>
        <x:v>4.913e-16</x:v>
      </x:c>
      <x:c r="AC188" s="95" t="n">
        <x:f>IF(OR(NOT(ISNUMBER(AA188)),NOT(ISNUMBER(AB188))),"",AA188/AB188)</x:f>
        <x:v>300630979035.2127</x:v>
      </x:c>
      <x:c r="AD188" s="93" t="n">
        <x:f>IF(NOT(ISNUMBER(Y188)),"",ABS(Y188-T188)*1000)</x:f>
        <x:v>0.8133333333373294</x:v>
      </x:c>
      <x:c r="AE188" s="93" t="n">
        <x:f>IF(NOT(ISNUMBER(Z188)),"",ABS(Z188-U188))</x:f>
        <x:v>0.007657779452529212</x:v>
      </x:c>
      <x:c r="AF188" s="93" t="n">
        <x:f>IF(NOT(ISNUMBER(AA188)),"",ABS(LOG10(AA188)-LOG10(V188)))</x:f>
        <x:v>0.02508324978489984</x:v>
      </x:c>
      <x:c r="AG188" s="93" t="n">
        <x:f>IF(NOT(ISNUMBER(AB188)),"",ABS(LOG10(AB188)-LOG10(W188)))</x:f>
        <x:v>0.04095377797160005</x:v>
      </x:c>
      <x:c r="AH188" s="93" t="n">
        <x:f>IF(NOT(ISNUMBER(AC188)),"",ABS(LOG10(AC188)-LOG10(X188)))</x:f>
        <x:v>0.066037027756499</x:v>
      </x:c>
      <x:c r="AI188" s="85" t="str">
        <x:f>IF(OR(NOT(ISNUMBER(Y188)),NOT(ISNUMBER(Z188)),NOT(ISNUMBER(AA188)),NOT(ISNUMBER(AB188))),"",IF(AND(Y188&gt;=0.3,Y188&lt;=1.2,Z188&lt;=200,AA188&gt;=1E-4,AB188&lt;=1E-6),"PASS","FAIL"))</x:f>
        <x:v>PASS</x:v>
      </x:c>
      <x:c r="AJ188" s="85" t="str"/>
    </x:row>
    <x:row r="189">
      <x:c r="A189" s="85" t="str">
        <x:v>L1000-38</x:v>
      </x:c>
      <x:c r="B189" s="85" t="str">
        <x:v>LR168</x:v>
      </x:c>
      <x:c r="C189" s="93" t="n">
        <x:v>1</x:v>
      </x:c>
      <x:c r="D189" s="93" t="str">
        <x:v>Practical</x:v>
      </x:c>
      <x:c r="E189" s="93" t="n">
        <x:v>1</x:v>
      </x:c>
      <x:c r="F189" s="94" t="n">
        <x:v>428066</x:v>
      </x:c>
      <x:c r="G189" s="93" t="n">
        <x:v>0.8832157349374397</x:v>
      </x:c>
      <x:c r="H189" s="93" t="n">
        <x:v>93.86504569681806</x:v>
      </x:c>
      <x:c r="I189" s="95" t="n">
        <x:v>0.00013292306892666772</x:v>
      </x:c>
      <x:c r="J189" s="95" t="n">
        <x:v>4.860312267648688e-16</x:v>
      </x:c>
      <x:c r="K189" s="95" t="n">
        <x:v>273486684819.4776</x:v>
      </x:c>
      <x:c r="L189" s="95" t="n">
        <x:v>51987995286227.37</x:v>
      </x:c>
      <x:c r="M189" s="95" t="n">
        <x:v>36.71248793604378</x:v>
      </x:c>
      <x:c r="N189" s="95" t="n">
        <x:v>591964385764445300</x:v>
      </x:c>
      <x:c r="O189" s="95" t="n">
        <x:v>17.494942024940737</x:v>
      </x:c>
      <x:c r="P189" s="93"/>
      <x:c r="Q189" s="95"/>
      <x:c r="R189" s="95"/>
      <x:c r="S189" s="97" t="n">
        <x:v>0.9966666666666667</x:v>
      </x:c>
      <x:c r="T189" s="93" t="n">
        <x:v>0.8850266666666632</x:v>
      </x:c>
      <x:c r="U189" s="98" t="n">
        <x:v>94.38066290299301</x:v>
      </x:c>
      <x:c r="V189" s="95" t="n">
        <x:v>0.00014165691764345673</x:v>
      </x:c>
      <x:c r="W189" s="95" t="n">
        <x:v>4.596223961614715e-16</x:v>
      </x:c>
      <x:c r="X189" s="95" t="n">
        <x:v>308202817848.96045</x:v>
      </x:c>
      <x:c r="Y189" s="99" t="n">
        <x:f>IFERROR(IF(ISBLANK(INDEX('Long_TCAD'!$H$2:$H$176,MATCH(B189,'Long_TCAD'!$A$2:$A$176,0))),"",INDEX('Long_TCAD'!$H$2:$H$176,MATCH(B189,'Long_TCAD'!$A$2:$A$176,0))),"")</x:f>
        <x:v>0.885</x:v>
      </x:c>
      <x:c r="Z189" s="100" t="n">
        <x:f>IFERROR(IF(ISBLANK(INDEX('Long_TCAD'!$I$2:$I$176,MATCH(B189,'Long_TCAD'!$A$2:$A$176,0))),"",INDEX('Long_TCAD'!$I$2:$I$176,MATCH(B189,'Long_TCAD'!$A$2:$A$176,0))),"")</x:f>
        <x:v>86.564</x:v>
      </x:c>
      <x:c r="AA189" s="96" t="n">
        <x:f>IFERROR(IF(ISBLANK(INDEX('Long_TCAD'!$J$2:$J$176,MATCH(B189,'Long_TCAD'!$A$2:$A$176,0))),"",INDEX('Long_TCAD'!$J$2:$J$176,MATCH(B189,'Long_TCAD'!$A$2:$A$176,0))),"")</x:f>
        <x:v>0.0001417</x:v>
      </x:c>
      <x:c r="AB189" s="96" t="n">
        <x:f>IFERROR(IF(ISBLANK(INDEX('Long_TCAD'!$K$2:$K$176,MATCH(B189,'Long_TCAD'!$A$2:$A$176,0))),"",INDEX('Long_TCAD'!$K$2:$K$176,MATCH(B189,'Long_TCAD'!$A$2:$A$176,0))),"")</x:f>
        <x:v>4.433e-16</x:v>
      </x:c>
      <x:c r="AC189" s="95" t="n">
        <x:f>IF(OR(NOT(ISNUMBER(AA189)),NOT(ISNUMBER(AB189))),"",AA189/AB189)</x:f>
        <x:v>319648093841.6423</x:v>
      </x:c>
      <x:c r="AD189" s="93" t="n">
        <x:f>IF(NOT(ISNUMBER(Y189)),"",ABS(Y189-T189)*1000)</x:f>
        <x:v>0.02666666666317763</x:v>
      </x:c>
      <x:c r="AE189" s="93" t="n">
        <x:f>IF(NOT(ISNUMBER(Z189)),"",ABS(Z189-U189))</x:f>
        <x:v>7.816662902993016</x:v>
      </x:c>
      <x:c r="AF189" s="93" t="n">
        <x:f>IF(NOT(ISNUMBER(AA189)),"",ABS(LOG10(AA189)-LOG10(V189)))</x:f>
        <x:v>0.00013206262979981176</x:v>
      </x:c>
      <x:c r="AG189" s="93" t="n">
        <x:f>IF(NOT(ISNUMBER(AB189)),"",ABS(LOG10(AB189)-LOG10(W189)))</x:f>
        <x:v>0.015703451232999655</x:v>
      </x:c>
      <x:c r="AH189" s="93" t="n">
        <x:f>IF(NOT(ISNUMBER(AC189)),"",ABS(LOG10(AC189)-LOG10(X189)))</x:f>
        <x:v>0.01583551386270088</x:v>
      </x:c>
      <x:c r="AI189" s="85" t="str">
        <x:f>IF(OR(NOT(ISNUMBER(Y189)),NOT(ISNUMBER(Z189)),NOT(ISNUMBER(AA189)),NOT(ISNUMBER(AB189))),"",IF(AND(Y189&gt;=0.3,Y189&lt;=1.2,Z189&lt;=200,AA189&gt;=1E-4,AB189&lt;=1E-6),"PASS","FAIL"))</x:f>
        <x:v>PASS</x:v>
      </x:c>
      <x:c r="AJ189" s="85" t="str"/>
    </x:row>
    <x:row r="190">
      <x:c r="A190" s="85" t="str">
        <x:v>L1000-39</x:v>
      </x:c>
      <x:c r="B190" s="85" t="str">
        <x:v>LR169</x:v>
      </x:c>
      <x:c r="C190" s="93" t="n">
        <x:v>1</x:v>
      </x:c>
      <x:c r="D190" s="93" t="str">
        <x:v>Practical</x:v>
      </x:c>
      <x:c r="E190" s="93" t="n">
        <x:v>1</x:v>
      </x:c>
      <x:c r="F190" s="94" t="n">
        <x:v>411798</x:v>
      </x:c>
      <x:c r="G190" s="93" t="n">
        <x:v>0.887</x:v>
      </x:c>
      <x:c r="H190" s="93" t="n">
        <x:v>87.96791085233005</x:v>
      </x:c>
      <x:c r="I190" s="95" t="n">
        <x:v>0.00014220405679169707</x:v>
      </x:c>
      <x:c r="J190" s="95" t="n">
        <x:v>4.04558629108727e-16</x:v>
      </x:c>
      <x:c r="K190" s="95" t="n">
        <x:v>351504198798.0414</x:v>
      </x:c>
      <x:c r="L190" s="95" t="n">
        <x:v>756161410632648.8</x:v>
      </x:c>
      <x:c r="M190" s="95" t="n">
        <x:v>29.152526727704775</x:v>
      </x:c>
      <x:c r="N190" s="95" t="n">
        <x:v>270591483739860350</x:v>
      </x:c>
      <x:c r="O190" s="95" t="n">
        <x:v>13.704569037240105</x:v>
      </x:c>
      <x:c r="P190" s="93"/>
      <x:c r="Q190" s="95"/>
      <x:c r="R190" s="95"/>
      <x:c r="S190" s="97" t="n">
        <x:v>0.9933333333333333</x:v>
      </x:c>
      <x:c r="T190" s="93" t="n">
        <x:v>0.8889433333333376</x:v>
      </x:c>
      <x:c r="U190" s="98" t="n">
        <x:v>88.41662648673565</x:v>
      </x:c>
      <x:c r="V190" s="95" t="n">
        <x:v>0.00014055257774158586</x:v>
      </x:c>
      <x:c r="W190" s="95" t="n">
        <x:v>4.144997062358703e-16</x:v>
      </x:c>
      <x:c r="X190" s="95" t="n">
        <x:v>339089692048.1885</x:v>
      </x:c>
      <x:c r="Y190" s="99" t="n">
        <x:f>IFERROR(IF(ISBLANK(INDEX('Long_TCAD'!$H$2:$H$176,MATCH(B190,'Long_TCAD'!$A$2:$A$176,0))),"",INDEX('Long_TCAD'!$H$2:$H$176,MATCH(B190,'Long_TCAD'!$A$2:$A$176,0))),"")</x:f>
        <x:v>0.888</x:v>
      </x:c>
      <x:c r="Z190" s="100" t="n">
        <x:f>IFERROR(IF(ISBLANK(INDEX('Long_TCAD'!$I$2:$I$176,MATCH(B190,'Long_TCAD'!$A$2:$A$176,0))),"",INDEX('Long_TCAD'!$I$2:$I$176,MATCH(B190,'Long_TCAD'!$A$2:$A$176,0))),"")</x:f>
        <x:v>88.718</x:v>
      </x:c>
      <x:c r="AA190" s="96" t="n">
        <x:f>IFERROR(IF(ISBLANK(INDEX('Long_TCAD'!$J$2:$J$176,MATCH(B190,'Long_TCAD'!$A$2:$A$176,0))),"",INDEX('Long_TCAD'!$J$2:$J$176,MATCH(B190,'Long_TCAD'!$A$2:$A$176,0))),"")</x:f>
        <x:v>0.0001415</x:v>
      </x:c>
      <x:c r="AB190" s="96" t="n">
        <x:f>IFERROR(IF(ISBLANK(INDEX('Long_TCAD'!$K$2:$K$176,MATCH(B190,'Long_TCAD'!$A$2:$A$176,0))),"",INDEX('Long_TCAD'!$K$2:$K$176,MATCH(B190,'Long_TCAD'!$A$2:$A$176,0))),"")</x:f>
        <x:v>3.835e-16</x:v>
      </x:c>
      <x:c r="AC190" s="95" t="n">
        <x:f>IF(OR(NOT(ISNUMBER(AA190)),NOT(ISNUMBER(AB190))),"",AA190/AB190)</x:f>
        <x:v>368970013037.80963</x:v>
      </x:c>
      <x:c r="AD190" s="93" t="n">
        <x:f>IF(NOT(ISNUMBER(Y190)),"",ABS(Y190-T190)*1000)</x:f>
        <x:v>0.9433333333376259</x:v>
      </x:c>
      <x:c r="AE190" s="93" t="n">
        <x:f>IF(NOT(ISNUMBER(Z190)),"",ABS(Z190-U190))</x:f>
        <x:v>0.3013735132643518</x:v>
      </x:c>
      <x:c r="AF190" s="93" t="n">
        <x:f>IF(NOT(ISNUMBER(AA190)),"",ABS(LOG10(AA190)-LOG10(V190)))</x:f>
        <x:v>0.0029176248604199095</x:v>
      </x:c>
      <x:c r="AG190" s="93" t="n">
        <x:f>IF(NOT(ISNUMBER(AB190)),"",ABS(LOG10(AB190)-LOG10(W190)))</x:f>
        <x:v>0.03375885880829976</x:v>
      </x:c>
      <x:c r="AH190" s="93" t="n">
        <x:f>IF(NOT(ISNUMBER(AC190)),"",ABS(LOG10(AC190)-LOG10(X190)))</x:f>
        <x:v>0.03667648366869969</x:v>
      </x:c>
      <x:c r="AI190" s="85" t="str">
        <x:f>IF(OR(NOT(ISNUMBER(Y190)),NOT(ISNUMBER(Z190)),NOT(ISNUMBER(AA190)),NOT(ISNUMBER(AB190))),"",IF(AND(Y190&gt;=0.3,Y190&lt;=1.2,Z190&lt;=200,AA190&gt;=1E-4,AB190&lt;=1E-6),"PASS","FAIL"))</x:f>
        <x:v>PASS</x:v>
      </x:c>
      <x:c r="AJ190" s="85" t="str"/>
    </x:row>
    <x:row r="191">
      <x:c r="A191" s="85" t="str">
        <x:v>L1000-40</x:v>
      </x:c>
      <x:c r="B191" s="85" t="str">
        <x:v>LR146</x:v>
      </x:c>
      <x:c r="C191" s="93" t="n">
        <x:v>1</x:v>
      </x:c>
      <x:c r="D191" s="93" t="str">
        <x:v>Practical</x:v>
      </x:c>
      <x:c r="E191" s="93" t="n">
        <x:v>1</x:v>
      </x:c>
      <x:c r="F191" s="94" t="n">
        <x:v>432675</x:v>
      </x:c>
      <x:c r="G191" s="93" t="n">
        <x:v>0.88435442027064</x:v>
      </x:c>
      <x:c r="H191" s="93" t="n">
        <x:v>91.89319624780387</x:v>
      </x:c>
      <x:c r="I191" s="95" t="n">
        <x:v>0.0001311</x:v>
      </x:c>
      <x:c r="J191" s="95" t="n">
        <x:v>5.527146653602754e-16</x:v>
      </x:c>
      <x:c r="K191" s="95" t="n">
        <x:v>237192910223.47888</x:v>
      </x:c>
      <x:c r="L191" s="95" t="n">
        <x:v>606064265247986.1</x:v>
      </x:c>
      <x:c r="M191" s="95" t="n">
        <x:v>42.82020093429715</x:v>
      </x:c>
      <x:c r="N191" s="95" t="n">
        <x:v>956839205112995000</x:v>
      </x:c>
      <x:c r="O191" s="95" t="n">
        <x:v>24.760085704668278</x:v>
      </x:c>
      <x:c r="P191" s="93"/>
      <x:c r="Q191" s="95"/>
      <x:c r="R191" s="95"/>
      <x:c r="S191" s="97" t="n">
        <x:v>0.9966666666666667</x:v>
      </x:c>
      <x:c r="T191" s="93" t="n">
        <x:v>0.8849699999999975</x:v>
      </x:c>
      <x:c r="U191" s="98" t="n">
        <x:v>89.72149986047005</x:v>
      </x:c>
      <x:c r="V191" s="95" t="n">
        <x:v>0.00014548202330320312</x:v>
      </x:c>
      <x:c r="W191" s="95" t="n">
        <x:v>5.653863389489735e-16</x:v>
      </x:c>
      <x:c r="X191" s="95" t="n">
        <x:v>257314358839.3864</x:v>
      </x:c>
      <x:c r="Y191" s="99" t="n">
        <x:f>IFERROR(IF(ISBLANK(INDEX('Long_TCAD'!$H$2:$H$176,MATCH(B191,'Long_TCAD'!$A$2:$A$176,0))),"",INDEX('Long_TCAD'!$H$2:$H$176,MATCH(B191,'Long_TCAD'!$A$2:$A$176,0))),"")</x:f>
        <x:v>0.883</x:v>
      </x:c>
      <x:c r="Z191" s="100" t="n">
        <x:f>IFERROR(IF(ISBLANK(INDEX('Long_TCAD'!$I$2:$I$176,MATCH(B191,'Long_TCAD'!$A$2:$A$176,0))),"",INDEX('Long_TCAD'!$I$2:$I$176,MATCH(B191,'Long_TCAD'!$A$2:$A$176,0))),"")</x:f>
        <x:v>86.129</x:v>
      </x:c>
      <x:c r="AA191" s="96" t="n">
        <x:f>IFERROR(IF(ISBLANK(INDEX('Long_TCAD'!$J$2:$J$176,MATCH(B191,'Long_TCAD'!$A$2:$A$176,0))),"",INDEX('Long_TCAD'!$J$2:$J$176,MATCH(B191,'Long_TCAD'!$A$2:$A$176,0))),"")</x:f>
        <x:v>0.0001493</x:v>
      </x:c>
      <x:c r="AB191" s="96" t="n">
        <x:f>IFERROR(IF(ISBLANK(INDEX('Long_TCAD'!$K$2:$K$176,MATCH(B191,'Long_TCAD'!$A$2:$A$176,0))),"",INDEX('Long_TCAD'!$K$2:$K$176,MATCH(B191,'Long_TCAD'!$A$2:$A$176,0))),"")</x:f>
        <x:v>6.154e-16</x:v>
      </x:c>
      <x:c r="AC191" s="95" t="n">
        <x:f>IF(OR(NOT(ISNUMBER(AA191)),NOT(ISNUMBER(AB191))),"",AA191/AB191)</x:f>
        <x:v>242606434839.12903</x:v>
      </x:c>
      <x:c r="AD191" s="93" t="n">
        <x:f>IF(NOT(ISNUMBER(Y191)),"",ABS(Y191-T191)*1000)</x:f>
        <x:v>1.9699999999974738</x:v>
      </x:c>
      <x:c r="AE191" s="93" t="n">
        <x:f>IF(NOT(ISNUMBER(Z191)),"",ABS(Z191-U191))</x:f>
        <x:v>3.592499860470042</x:v>
      </x:c>
      <x:c r="AF191" s="93" t="n">
        <x:f>IF(NOT(ISNUMBER(AA191)),"",ABS(LOG10(AA191)-LOG10(V191)))</x:f>
        <x:v>0.01125047531413026</x:v>
      </x:c>
      <x:c r="AG191" s="93" t="n">
        <x:f>IF(NOT(ISNUMBER(AB191)),"",ABS(LOG10(AB191)-LOG10(W191)))</x:f>
        <x:v>0.03681218119749907</x:v>
      </x:c>
      <x:c r="AH191" s="93" t="n">
        <x:f>IF(NOT(ISNUMBER(AC191)),"",ABS(LOG10(AC191)-LOG10(X191)))</x:f>
        <x:v>0.02556170588340123</x:v>
      </x:c>
      <x:c r="AI191" s="85" t="str">
        <x:f>IF(OR(NOT(ISNUMBER(Y191)),NOT(ISNUMBER(Z191)),NOT(ISNUMBER(AA191)),NOT(ISNUMBER(AB191))),"",IF(AND(Y191&gt;=0.3,Y191&lt;=1.2,Z191&lt;=200,AA191&gt;=1E-4,AB191&lt;=1E-6),"PASS","FAIL"))</x:f>
        <x:v>PASS</x:v>
      </x:c>
      <x:c r="AJ191" s="85" t="str"/>
    </x:row>
    <x:row r="192">
      <x:c r="A192" s="85" t="str">
        <x:v>L1000-41</x:v>
      </x:c>
      <x:c r="B192" s="85" t="str">
        <x:v>LR170</x:v>
      </x:c>
      <x:c r="C192" s="93" t="n">
        <x:v>1</x:v>
      </x:c>
      <x:c r="D192" s="93" t="str">
        <x:v>Practical</x:v>
      </x:c>
      <x:c r="E192" s="93" t="n">
        <x:v>1</x:v>
      </x:c>
      <x:c r="F192" s="94" t="n">
        <x:v>391133</x:v>
      </x:c>
      <x:c r="G192" s="93" t="n">
        <x:v>0.8806867681382288</x:v>
      </x:c>
      <x:c r="H192" s="93" t="n">
        <x:v>89.83001232822596</x:v>
      </x:c>
      <x:c r="I192" s="95" t="n">
        <x:v>0.00015278684016806083</x:v>
      </x:c>
      <x:c r="J192" s="95" t="n">
        <x:v>6.895205492659743e-16</x:v>
      </x:c>
      <x:c r="K192" s="95" t="n">
        <x:v>221584172263.91483</x:v>
      </x:c>
      <x:c r="L192" s="95" t="n">
        <x:v>515531768750969.3</x:v>
      </x:c>
      <x:c r="M192" s="95" t="n">
        <x:v>43.49451169269394</x:v>
      </x:c>
      <x:c r="N192" s="95" t="n">
        <x:v>4528051782241060</x:v>
      </x:c>
      <x:c r="O192" s="95" t="n">
        <x:v>10.416165662727956</x:v>
      </x:c>
      <x:c r="P192" s="93"/>
      <x:c r="Q192" s="95"/>
      <x:c r="R192" s="95"/>
      <x:c r="S192" s="97" t="n">
        <x:v>1</x:v>
      </x:c>
      <x:c r="T192" s="93" t="n">
        <x:v>0.8830800000000019</x:v>
      </x:c>
      <x:c r="U192" s="98" t="n">
        <x:v>87.08915490699853</x:v>
      </x:c>
      <x:c r="V192" s="95" t="n">
        <x:v>0.0001381111063877766</x:v>
      </x:c>
      <x:c r="W192" s="95" t="n">
        <x:v>6.554759032509719e-16</x:v>
      </x:c>
      <x:c r="X192" s="95" t="n">
        <x:v>210703560119.88428</x:v>
      </x:c>
      <x:c r="Y192" s="99" t="n">
        <x:f>IFERROR(IF(ISBLANK(INDEX('Long_TCAD'!$H$2:$H$176,MATCH(B192,'Long_TCAD'!$A$2:$A$176,0))),"",INDEX('Long_TCAD'!$H$2:$H$176,MATCH(B192,'Long_TCAD'!$A$2:$A$176,0))),"")</x:f>
        <x:v>0.886</x:v>
      </x:c>
      <x:c r="Z192" s="100" t="n">
        <x:f>IFERROR(IF(ISBLANK(INDEX('Long_TCAD'!$I$2:$I$176,MATCH(B192,'Long_TCAD'!$A$2:$A$176,0))),"",INDEX('Long_TCAD'!$I$2:$I$176,MATCH(B192,'Long_TCAD'!$A$2:$A$176,0))),"")</x:f>
        <x:v>86.606</x:v>
      </x:c>
      <x:c r="AA192" s="96" t="n">
        <x:f>IFERROR(IF(ISBLANK(INDEX('Long_TCAD'!$J$2:$J$176,MATCH(B192,'Long_TCAD'!$A$2:$A$176,0))),"",INDEX('Long_TCAD'!$J$2:$J$176,MATCH(B192,'Long_TCAD'!$A$2:$A$176,0))),"")</x:f>
        <x:v>0.0001402</x:v>
      </x:c>
      <x:c r="AB192" s="96" t="n">
        <x:f>IFERROR(IF(ISBLANK(INDEX('Long_TCAD'!$K$2:$K$176,MATCH(B192,'Long_TCAD'!$A$2:$A$176,0))),"",INDEX('Long_TCAD'!$K$2:$K$176,MATCH(B192,'Long_TCAD'!$A$2:$A$176,0))),"")</x:f>
        <x:v>5.142e-16</x:v>
      </x:c>
      <x:c r="AC192" s="95" t="n">
        <x:f>IF(OR(NOT(ISNUMBER(AA192)),NOT(ISNUMBER(AB192))),"",AA192/AB192)</x:f>
        <x:v>272656553870.08948</x:v>
      </x:c>
      <x:c r="AD192" s="93" t="n">
        <x:f>IF(NOT(ISNUMBER(Y192)),"",ABS(Y192-T192)*1000)</x:f>
        <x:v>2.9199999999981463</x:v>
      </x:c>
      <x:c r="AE192" s="93" t="n">
        <x:f>IF(NOT(ISNUMBER(Z192)),"",ABS(Z192-U192))</x:f>
        <x:v>0.4831549069985357</x:v>
      </x:c>
      <x:c r="AF192" s="93" t="n">
        <x:f>IF(NOT(ISNUMBER(AA192)),"",ABS(LOG10(AA192)-LOG10(V192)))</x:f>
        <x:v>0.0065194092809899296</x:v>
      </x:c>
      <x:c r="AG192" s="93" t="n">
        <x:f>IF(NOT(ISNUMBER(AB192)),"",ABS(LOG10(AB192)-LOG10(W192)))</x:f>
        <x:v>0.10542465838370063</x:v>
      </x:c>
      <x:c r="AH192" s="93" t="n">
        <x:f>IF(NOT(ISNUMBER(AC192)),"",ABS(LOG10(AC192)-LOG10(X192)))</x:f>
        <x:v>0.11194406766460041</x:v>
      </x:c>
      <x:c r="AI192" s="85" t="str">
        <x:f>IF(OR(NOT(ISNUMBER(Y192)),NOT(ISNUMBER(Z192)),NOT(ISNUMBER(AA192)),NOT(ISNUMBER(AB192))),"",IF(AND(Y192&gt;=0.3,Y192&lt;=1.2,Z192&lt;=200,AA192&gt;=1E-4,AB192&lt;=1E-6),"PASS","FAIL"))</x:f>
        <x:v>PASS</x:v>
      </x:c>
      <x:c r="AJ192" s="85" t="str"/>
    </x:row>
    <x:row r="193">
      <x:c r="A193" s="85" t="str">
        <x:v>L1000-42</x:v>
      </x:c>
      <x:c r="B193" s="85" t="str">
        <x:v>LR171</x:v>
      </x:c>
      <x:c r="C193" s="93" t="n">
        <x:v>1</x:v>
      </x:c>
      <x:c r="D193" s="93" t="str">
        <x:v>Practical</x:v>
      </x:c>
      <x:c r="E193" s="93" t="n">
        <x:v>1</x:v>
      </x:c>
      <x:c r="F193" s="94" t="n">
        <x:v>410130</x:v>
      </x:c>
      <x:c r="G193" s="93" t="n">
        <x:v>0.886030716016536</x:v>
      </x:c>
      <x:c r="H193" s="93" t="n">
        <x:v>83.492</x:v>
      </x:c>
      <x:c r="I193" s="95" t="n">
        <x:v>0.000164</x:v>
      </x:c>
      <x:c r="J193" s="95" t="n">
        <x:v>4.136744282794672e-16</x:v>
      </x:c>
      <x:c r="K193" s="95" t="n">
        <x:v>396447033678.39325</x:v>
      </x:c>
      <x:c r="L193" s="95" t="n">
        <x:v>520112039782003</x:v>
      </x:c>
      <x:c r="M193" s="95" t="n">
        <x:v>52.04074585632831</x:v>
      </x:c>
      <x:c r="N193" s="95" t="n">
        <x:v>85638453773201870</x:v>
      </x:c>
      <x:c r="O193" s="95" t="n">
        <x:v>16.68072309195974</x:v>
      </x:c>
      <x:c r="P193" s="93"/>
      <x:c r="Q193" s="95"/>
      <x:c r="R193" s="95"/>
      <x:c r="S193" s="97" t="n">
        <x:v>0.9966666666666667</x:v>
      </x:c>
      <x:c r="T193" s="93" t="n">
        <x:v>0.8868133333333332</x:v>
      </x:c>
      <x:c r="U193" s="98" t="n">
        <x:v>84.33608988800647</x:v>
      </x:c>
      <x:c r="V193" s="95" t="n">
        <x:v>0.00014051526884068498</x:v>
      </x:c>
      <x:c r="W193" s="95" t="n">
        <x:v>4.312565166791738e-16</x:v>
      </x:c>
      <x:c r="X193" s="95" t="n">
        <x:v>325827583830.38885</x:v>
      </x:c>
      <x:c r="Y193" s="99" t="n">
        <x:f>IFERROR(IF(ISBLANK(INDEX('Long_TCAD'!$H$2:$H$176,MATCH(B193,'Long_TCAD'!$A$2:$A$176,0))),"",INDEX('Long_TCAD'!$H$2:$H$176,MATCH(B193,'Long_TCAD'!$A$2:$A$176,0))),"")</x:f>
        <x:v>0.887</x:v>
      </x:c>
      <x:c r="Z193" s="100" t="n">
        <x:f>IFERROR(IF(ISBLANK(INDEX('Long_TCAD'!$I$2:$I$176,MATCH(B193,'Long_TCAD'!$A$2:$A$176,0))),"",INDEX('Long_TCAD'!$I$2:$I$176,MATCH(B193,'Long_TCAD'!$A$2:$A$176,0))),"")</x:f>
        <x:v>87.004</x:v>
      </x:c>
      <x:c r="AA193" s="96" t="n">
        <x:f>IFERROR(IF(ISBLANK(INDEX('Long_TCAD'!$J$2:$J$176,MATCH(B193,'Long_TCAD'!$A$2:$A$176,0))),"",INDEX('Long_TCAD'!$J$2:$J$176,MATCH(B193,'Long_TCAD'!$A$2:$A$176,0))),"")</x:f>
        <x:v>0.000142</x:v>
      </x:c>
      <x:c r="AB193" s="96" t="n">
        <x:f>IFERROR(IF(ISBLANK(INDEX('Long_TCAD'!$K$2:$K$176,MATCH(B193,'Long_TCAD'!$A$2:$A$176,0))),"",INDEX('Long_TCAD'!$K$2:$K$176,MATCH(B193,'Long_TCAD'!$A$2:$A$176,0))),"")</x:f>
        <x:v>4.727e-16</x:v>
      </x:c>
      <x:c r="AC193" s="95" t="n">
        <x:f>IF(OR(NOT(ISNUMBER(AA193)),NOT(ISNUMBER(AB193))),"",AA193/AB193)</x:f>
        <x:v>300401946266.1308</x:v>
      </x:c>
      <x:c r="AD193" s="93" t="n">
        <x:f>IF(NOT(ISNUMBER(Y193)),"",ABS(Y193-T193)*1000)</x:f>
        <x:v>0.18666666666677934</x:v>
      </x:c>
      <x:c r="AE193" s="93" t="n">
        <x:f>IF(NOT(ISNUMBER(Z193)),"",ABS(Z193-U193))</x:f>
        <x:v>2.6679101119935353</x:v>
      </x:c>
      <x:c r="AF193" s="93" t="n">
        <x:f>IF(NOT(ISNUMBER(AA193)),"",ABS(LOG10(AA193)-LOG10(V193)))</x:f>
        <x:v>0.004564825743669676</x:v>
      </x:c>
      <x:c r="AG193" s="93" t="n">
        <x:f>IF(NOT(ISNUMBER(AB193)),"",ABS(LOG10(AB193)-LOG10(W193)))</x:f>
        <x:v>0.03984993158639938</x:v>
      </x:c>
      <x:c r="AH193" s="93" t="n">
        <x:f>IF(NOT(ISNUMBER(AC193)),"",ABS(LOG10(AC193)-LOG10(X193)))</x:f>
        <x:v>0.0352851058428012</x:v>
      </x:c>
      <x:c r="AI193" s="85" t="str">
        <x:f>IF(OR(NOT(ISNUMBER(Y193)),NOT(ISNUMBER(Z193)),NOT(ISNUMBER(AA193)),NOT(ISNUMBER(AB193))),"",IF(AND(Y193&gt;=0.3,Y193&lt;=1.2,Z193&lt;=200,AA193&gt;=1E-4,AB193&lt;=1E-6),"PASS","FAIL"))</x:f>
        <x:v>PASS</x:v>
      </x:c>
      <x:c r="AJ193" s="85" t="str"/>
    </x:row>
    <x:row r="194">
      <x:c r="A194" s="85" t="str">
        <x:v>L1000-43</x:v>
      </x:c>
      <x:c r="B194" s="85" t="str">
        <x:v>LR141</x:v>
      </x:c>
      <x:c r="C194" s="93" t="n">
        <x:v>1</x:v>
      </x:c>
      <x:c r="D194" s="93" t="str">
        <x:v>Practical</x:v>
      </x:c>
      <x:c r="E194" s="93" t="n">
        <x:v>1</x:v>
      </x:c>
      <x:c r="F194" s="94" t="n">
        <x:v>432480</x:v>
      </x:c>
      <x:c r="G194" s="93" t="n">
        <x:v>0.8760978638497414</x:v>
      </x:c>
      <x:c r="H194" s="93" t="n">
        <x:v>92.9542476907832</x:v>
      </x:c>
      <x:c r="I194" s="95" t="n">
        <x:v>0.0001311</x:v>
      </x:c>
      <x:c r="J194" s="95" t="n">
        <x:v>5.348220790809199e-16</x:v>
      </x:c>
      <x:c r="K194" s="95" t="n">
        <x:v>245128249426.97296</x:v>
      </x:c>
      <x:c r="L194" s="95" t="n">
        <x:v>821194310279683.2</x:v>
      </x:c>
      <x:c r="M194" s="95" t="n">
        <x:v>21.753118050919376</x:v>
      </x:c>
      <x:c r="N194" s="95" t="n">
        <x:v>947914757495639200</x:v>
      </x:c>
      <x:c r="O194" s="95" t="n">
        <x:v>20.777368713563913</x:v>
      </x:c>
      <x:c r="P194" s="93"/>
      <x:c r="Q194" s="95"/>
      <x:c r="R194" s="95"/>
      <x:c r="S194" s="97" t="n">
        <x:v>0.9966666666666667</x:v>
      </x:c>
      <x:c r="T194" s="93" t="n">
        <x:v>0.8832033333333351</x:v>
      </x:c>
      <x:c r="U194" s="98" t="n">
        <x:v>92.46939333248211</x:v>
      </x:c>
      <x:c r="V194" s="95" t="n">
        <x:v>0.00014668095001914123</x:v>
      </x:c>
      <x:c r="W194" s="95" t="n">
        <x:v>5.286810990692936e-16</x:v>
      </x:c>
      <x:c r="X194" s="95" t="n">
        <x:v>277446934035.2112</x:v>
      </x:c>
      <x:c r="Y194" s="99" t="n">
        <x:f>IFERROR(IF(ISBLANK(INDEX('Long_TCAD'!$H$2:$H$176,MATCH(B194,'Long_TCAD'!$A$2:$A$176,0))),"",INDEX('Long_TCAD'!$H$2:$H$176,MATCH(B194,'Long_TCAD'!$A$2:$A$176,0))),"")</x:f>
        <x:v>0.884</x:v>
      </x:c>
      <x:c r="Z194" s="100" t="n">
        <x:f>IFERROR(IF(ISBLANK(INDEX('Long_TCAD'!$I$2:$I$176,MATCH(B194,'Long_TCAD'!$A$2:$A$176,0))),"",INDEX('Long_TCAD'!$I$2:$I$176,MATCH(B194,'Long_TCAD'!$A$2:$A$176,0))),"")</x:f>
        <x:v>85.965</x:v>
      </x:c>
      <x:c r="AA194" s="96" t="n">
        <x:f>IFERROR(IF(ISBLANK(INDEX('Long_TCAD'!$J$2:$J$176,MATCH(B194,'Long_TCAD'!$A$2:$A$176,0))),"",INDEX('Long_TCAD'!$J$2:$J$176,MATCH(B194,'Long_TCAD'!$A$2:$A$176,0))),"")</x:f>
        <x:v>0.000146</x:v>
      </x:c>
      <x:c r="AB194" s="96" t="n">
        <x:f>IFERROR(IF(ISBLANK(INDEX('Long_TCAD'!$K$2:$K$176,MATCH(B194,'Long_TCAD'!$A$2:$A$176,0))),"",INDEX('Long_TCAD'!$K$2:$K$176,MATCH(B194,'Long_TCAD'!$A$2:$A$176,0))),"")</x:f>
        <x:v>4.038e-16</x:v>
      </x:c>
      <x:c r="AC194" s="95" t="n">
        <x:f>IF(OR(NOT(ISNUMBER(AA194)),NOT(ISNUMBER(AB194))),"",AA194/AB194)</x:f>
        <x:v>361565131253.0956</x:v>
      </x:c>
      <x:c r="AD194" s="93" t="n">
        <x:f>IF(NOT(ISNUMBER(Y194)),"",ABS(Y194-T194)*1000)</x:f>
        <x:v>0.7966666666648914</x:v>
      </x:c>
      <x:c r="AE194" s="93" t="n">
        <x:f>IF(NOT(ISNUMBER(Z194)),"",ABS(Z194-U194))</x:f>
        <x:v>6.50439333248211</x:v>
      </x:c>
      <x:c r="AF194" s="93" t="n">
        <x:f>IF(NOT(ISNUMBER(AA194)),"",ABS(LOG10(AA194)-LOG10(V194)))</x:f>
        <x:v>0.0020208583397902657</x:v>
      </x:c>
      <x:c r="AG194" s="93" t="n">
        <x:f>IF(NOT(ISNUMBER(AB194)),"",ABS(LOG10(AB194)-LOG10(W194)))</x:f>
        <x:v>0.1170274695696989</x:v>
      </x:c>
      <x:c r="AH194" s="93" t="n">
        <x:f>IF(NOT(ISNUMBER(AC194)),"",ABS(LOG10(AC194)-LOG10(X194)))</x:f>
        <x:v>0.11500661122989975</x:v>
      </x:c>
      <x:c r="AI194" s="85" t="str">
        <x:f>IF(OR(NOT(ISNUMBER(Y194)),NOT(ISNUMBER(Z194)),NOT(ISNUMBER(AA194)),NOT(ISNUMBER(AB194))),"",IF(AND(Y194&gt;=0.3,Y194&lt;=1.2,Z194&lt;=200,AA194&gt;=1E-4,AB194&lt;=1E-6),"PASS","FAIL"))</x:f>
        <x:v>PASS</x:v>
      </x:c>
      <x:c r="AJ194" s="85" t="str"/>
    </x:row>
    <x:row r="195">
      <x:c r="A195" s="85" t="str">
        <x:v>L1000-44</x:v>
      </x:c>
      <x:c r="B195" s="85" t="str">
        <x:v>LR163</x:v>
      </x:c>
      <x:c r="C195" s="93" t="n">
        <x:v>1</x:v>
      </x:c>
      <x:c r="D195" s="93" t="str">
        <x:v>Practical</x:v>
      </x:c>
      <x:c r="E195" s="93" t="n">
        <x:v>1</x:v>
      </x:c>
      <x:c r="F195" s="94" t="n">
        <x:v>411855</x:v>
      </x:c>
      <x:c r="G195" s="93" t="n">
        <x:v>0.885353721541624</x:v>
      </x:c>
      <x:c r="H195" s="93" t="n">
        <x:v>86.15746919692096</x:v>
      </x:c>
      <x:c r="I195" s="95" t="n">
        <x:v>0.00014827521618113374</x:v>
      </x:c>
      <x:c r="J195" s="95" t="n">
        <x:v>4.2116358127808317e-16</x:v>
      </x:c>
      <x:c r="K195" s="95" t="n">
        <x:v>352060868442.5436</x:v>
      </x:c>
      <x:c r="L195" s="95" t="n">
        <x:v>859280666059570.8</x:v>
      </x:c>
      <x:c r="M195" s="95" t="n">
        <x:v>37.041189877489785</x:v>
      </x:c>
      <x:c r="N195" s="95" t="n">
        <x:v>49486740087029290</x:v>
      </x:c>
      <x:c r="O195" s="95" t="n">
        <x:v>32.63576106831723</x:v>
      </x:c>
      <x:c r="P195" s="93"/>
      <x:c r="Q195" s="95"/>
      <x:c r="R195" s="95"/>
      <x:c r="S195" s="97" t="n">
        <x:v>1</x:v>
      </x:c>
      <x:c r="T195" s="93" t="n">
        <x:v>0.8872066666666677</x:v>
      </x:c>
      <x:c r="U195" s="98" t="n">
        <x:v>86.4770815821544</x:v>
      </x:c>
      <x:c r="V195" s="95" t="n">
        <x:v>0.0001410553291248117</x:v>
      </x:c>
      <x:c r="W195" s="95" t="n">
        <x:v>4.20841479729012e-16</x:v>
      </x:c>
      <x:c r="X195" s="95" t="n">
        <x:v>335174491867.1989</x:v>
      </x:c>
      <x:c r="Y195" s="99" t="n">
        <x:f>IFERROR(IF(ISBLANK(INDEX('Long_TCAD'!$H$2:$H$176,MATCH(B195,'Long_TCAD'!$A$2:$A$176,0))),"",INDEX('Long_TCAD'!$H$2:$H$176,MATCH(B195,'Long_TCAD'!$A$2:$A$176,0))),"")</x:f>
        <x:v>0.839</x:v>
      </x:c>
      <x:c r="Z195" s="100" t="n">
        <x:f>IFERROR(IF(ISBLANK(INDEX('Long_TCAD'!$I$2:$I$176,MATCH(B195,'Long_TCAD'!$A$2:$A$176,0))),"",INDEX('Long_TCAD'!$I$2:$I$176,MATCH(B195,'Long_TCAD'!$A$2:$A$176,0))),"")</x:f>
        <x:v>84.242</x:v>
      </x:c>
      <x:c r="AA195" s="96" t="n">
        <x:f>IFERROR(IF(ISBLANK(INDEX('Long_TCAD'!$J$2:$J$176,MATCH(B195,'Long_TCAD'!$A$2:$A$176,0))),"",INDEX('Long_TCAD'!$J$2:$J$176,MATCH(B195,'Long_TCAD'!$A$2:$A$176,0))),"")</x:f>
        <x:v>0.0001506</x:v>
      </x:c>
      <x:c r="AB195" s="96" t="n">
        <x:f>IFERROR(IF(ISBLANK(INDEX('Long_TCAD'!$K$2:$K$176,MATCH(B195,'Long_TCAD'!$A$2:$A$176,0))),"",INDEX('Long_TCAD'!$K$2:$K$176,MATCH(B195,'Long_TCAD'!$A$2:$A$176,0))),"")</x:f>
        <x:v>7.878e-16</x:v>
      </x:c>
      <x:c r="AC195" s="95" t="n">
        <x:f>IF(OR(NOT(ISNUMBER(AA195)),NOT(ISNUMBER(AB195))),"",AA195/AB195)</x:f>
        <x:v>191165270373.19116</x:v>
      </x:c>
      <x:c r="AD195" s="93" t="n">
        <x:f>IF(NOT(ISNUMBER(Y195)),"",ABS(Y195-T195)*1000)</x:f>
        <x:v>48.20666666666773</x:v>
      </x:c>
      <x:c r="AE195" s="93" t="n">
        <x:f>IF(NOT(ISNUMBER(Z195)),"",ABS(Z195-U195))</x:f>
        <x:v>2.2350815821543932</x:v>
      </x:c>
      <x:c r="AF195" s="93" t="n">
        <x:f>IF(NOT(ISNUMBER(AA195)),"",ABS(LOG10(AA195)-LOG10(V195)))</x:f>
        <x:v>0.02843547325008</x:v>
      </x:c>
      <x:c r="AG195" s="93" t="n">
        <x:f>IF(NOT(ISNUMBER(AB195)),"",ABS(LOG10(AB195)-LOG10(W195)))</x:f>
        <x:v>0.2722974375099003</x:v>
      </x:c>
      <x:c r="AH195" s="93" t="n">
        <x:f>IF(NOT(ISNUMBER(AC195)),"",ABS(LOG10(AC195)-LOG10(X195)))</x:f>
        <x:v>0.2438619642597999</x:v>
      </x:c>
      <x:c r="AI195" s="85" t="str">
        <x:f>IF(OR(NOT(ISNUMBER(Y195)),NOT(ISNUMBER(Z195)),NOT(ISNUMBER(AA195)),NOT(ISNUMBER(AB195))),"",IF(AND(Y195&gt;=0.3,Y195&lt;=1.2,Z195&lt;=200,AA195&gt;=1E-4,AB195&lt;=1E-6),"PASS","FAIL"))</x:f>
        <x:v>PASS</x:v>
      </x:c>
      <x:c r="AJ195" s="85" t="str"/>
    </x:row>
    <x:row r="196">
      <x:c r="A196" s="85" t="str">
        <x:v>L1000-45</x:v>
      </x:c>
      <x:c r="B196" s="85" t="str">
        <x:v>LR172</x:v>
      </x:c>
      <x:c r="C196" s="93" t="n">
        <x:v>1</x:v>
      </x:c>
      <x:c r="D196" s="93" t="str">
        <x:v>Practical</x:v>
      </x:c>
      <x:c r="E196" s="93" t="n">
        <x:v>1</x:v>
      </x:c>
      <x:c r="F196" s="94" t="n">
        <x:v>401104</x:v>
      </x:c>
      <x:c r="G196" s="93" t="n">
        <x:v>0.8824202351583654</x:v>
      </x:c>
      <x:c r="H196" s="93" t="n">
        <x:v>95.11315150482031</x:v>
      </x:c>
      <x:c r="I196" s="95" t="n">
        <x:v>0.000164</x:v>
      </x:c>
      <x:c r="J196" s="95" t="n">
        <x:v>6.583729772636357e-16</x:v>
      </x:c>
      <x:c r="K196" s="95" t="n">
        <x:v>249098923655.13754</x:v>
      </x:c>
      <x:c r="L196" s="95" t="n">
        <x:v>775180367035469.4</x:v>
      </x:c>
      <x:c r="M196" s="95" t="n">
        <x:v>36.36345939466673</x:v>
      </x:c>
      <x:c r="N196" s="95" t="n">
        <x:v>643156539913290500</x:v>
      </x:c>
      <x:c r="O196" s="95" t="n">
        <x:v>19.759267491040838</x:v>
      </x:c>
      <x:c r="P196" s="93"/>
      <x:c r="Q196" s="95"/>
      <x:c r="R196" s="95"/>
      <x:c r="S196" s="97" t="n">
        <x:v>1</x:v>
      </x:c>
      <x:c r="T196" s="93" t="n">
        <x:v>0.8840533333333296</x:v>
      </x:c>
      <x:c r="U196" s="98" t="n">
        <x:v>94.9959206208741</x:v>
      </x:c>
      <x:c r="V196" s="95" t="n">
        <x:v>0.00014563783340996127</x:v>
      </x:c>
      <x:c r="W196" s="95" t="n">
        <x:v>5.407459620192646e-16</x:v>
      </x:c>
      <x:c r="X196" s="95" t="n">
        <x:v>269327639296.86594</x:v>
      </x:c>
      <x:c r="Y196" s="99" t="n">
        <x:f>IFERROR(IF(ISBLANK(INDEX('Long_TCAD'!$H$2:$H$176,MATCH(B196,'Long_TCAD'!$A$2:$A$176,0))),"",INDEX('Long_TCAD'!$H$2:$H$176,MATCH(B196,'Long_TCAD'!$A$2:$A$176,0))),"")</x:f>
        <x:v>0.885</x:v>
      </x:c>
      <x:c r="Z196" s="100" t="n">
        <x:f>IFERROR(IF(ISBLANK(INDEX('Long_TCAD'!$I$2:$I$176,MATCH(B196,'Long_TCAD'!$A$2:$A$176,0))),"",INDEX('Long_TCAD'!$I$2:$I$176,MATCH(B196,'Long_TCAD'!$A$2:$A$176,0))),"")</x:f>
        <x:v>86.193</x:v>
      </x:c>
      <x:c r="AA196" s="96" t="n">
        <x:f>IFERROR(IF(ISBLANK(INDEX('Long_TCAD'!$J$2:$J$176,MATCH(B196,'Long_TCAD'!$A$2:$A$176,0))),"",INDEX('Long_TCAD'!$J$2:$J$176,MATCH(B196,'Long_TCAD'!$A$2:$A$176,0))),"")</x:f>
        <x:v>0.0001443</x:v>
      </x:c>
      <x:c r="AB196" s="96" t="n">
        <x:f>IFERROR(IF(ISBLANK(INDEX('Long_TCAD'!$K$2:$K$176,MATCH(B196,'Long_TCAD'!$A$2:$A$176,0))),"",INDEX('Long_TCAD'!$K$2:$K$176,MATCH(B196,'Long_TCAD'!$A$2:$A$176,0))),"")</x:f>
        <x:v>7.207e-16</x:v>
      </x:c>
      <x:c r="AC196" s="95" t="n">
        <x:f>IF(OR(NOT(ISNUMBER(AA196)),NOT(ISNUMBER(AB196))),"",AA196/AB196)</x:f>
        <x:v>200222006382.68353</x:v>
      </x:c>
      <x:c r="AD196" s="93" t="n">
        <x:f>IF(NOT(ISNUMBER(Y196)),"",ABS(Y196-T196)*1000)</x:f>
        <x:v>0.946666666670426</x:v>
      </x:c>
      <x:c r="AE196" s="93" t="n">
        <x:f>IF(NOT(ISNUMBER(Z196)),"",ABS(Z196-U196))</x:f>
        <x:v>8.802920620874104</x:v>
      </x:c>
      <x:c r="AF196" s="93" t="n">
        <x:f>IF(NOT(ISNUMBER(AA196)),"",ABS(LOG10(AA196)-LOG10(V196)))</x:f>
        <x:v>0.004007878408339938</x:v>
      </x:c>
      <x:c r="AG196" s="93" t="n">
        <x:f>IF(NOT(ISNUMBER(AB196)),"",ABS(LOG10(AB196)-LOG10(W196)))</x:f>
        <x:v>0.12476123699829955</x:v>
      </x:c>
      <x:c r="AH196" s="93" t="n">
        <x:f>IF(NOT(ISNUMBER(AC196)),"",ABS(LOG10(AC196)-LOG10(X196)))</x:f>
        <x:v>0.12876911540659997</x:v>
      </x:c>
      <x:c r="AI196" s="85" t="str">
        <x:f>IF(OR(NOT(ISNUMBER(Y196)),NOT(ISNUMBER(Z196)),NOT(ISNUMBER(AA196)),NOT(ISNUMBER(AB196))),"",IF(AND(Y196&gt;=0.3,Y196&lt;=1.2,Z196&lt;=200,AA196&gt;=1E-4,AB196&lt;=1E-6),"PASS","FAIL"))</x:f>
        <x:v>PASS</x:v>
      </x:c>
      <x:c r="AJ196" s="85" t="str"/>
    </x:row>
    <x:row r="197">
      <x:c r="A197" s="85" t="str">
        <x:v>L1000-46</x:v>
      </x:c>
      <x:c r="B197" s="85" t="str">
        <x:v>LR173</x:v>
      </x:c>
      <x:c r="C197" s="93" t="n">
        <x:v>1</x:v>
      </x:c>
      <x:c r="D197" s="93" t="str">
        <x:v>Practical</x:v>
      </x:c>
      <x:c r="E197" s="93" t="n">
        <x:v>1</x:v>
      </x:c>
      <x:c r="F197" s="94" t="n">
        <x:v>432480</x:v>
      </x:c>
      <x:c r="G197" s="93" t="n">
        <x:v>0.8824352171498104</x:v>
      </x:c>
      <x:c r="H197" s="93" t="n">
        <x:v>88.82672861880692</x:v>
      </x:c>
      <x:c r="I197" s="95" t="n">
        <x:v>0.0001311</x:v>
      </x:c>
      <x:c r="J197" s="95" t="n">
        <x:v>5.33761323616996e-16</x:v>
      </x:c>
      <x:c r="K197" s="95" t="n">
        <x:v>245615398117.66443</x:v>
      </x:c>
      <x:c r="L197" s="95" t="n">
        <x:v>6434482583093.563</x:v>
      </x:c>
      <x:c r="M197" s="95" t="n">
        <x:v>51.476371125222734</x:v>
      </x:c>
      <x:c r="N197" s="95" t="n">
        <x:v>5499440005250984</x:v>
      </x:c>
      <x:c r="O197" s="95" t="n">
        <x:v>12.44184341551062</x:v>
      </x:c>
      <x:c r="P197" s="93"/>
      <x:c r="Q197" s="95"/>
      <x:c r="R197" s="95"/>
      <x:c r="S197" s="97" t="n">
        <x:v>1</x:v>
      </x:c>
      <x:c r="T197" s="93" t="n">
        <x:v>0.8806633333333328</x:v>
      </x:c>
      <x:c r="U197" s="98" t="n">
        <x:v>86.47890343831418</x:v>
      </x:c>
      <x:c r="V197" s="95" t="n">
        <x:v>0.00012962534174619766</x:v>
      </x:c>
      <x:c r="W197" s="95" t="n">
        <x:v>5.433528717667329e-16</x:v>
      </x:c>
      <x:c r="X197" s="95" t="n">
        <x:v>238565669717.94193</x:v>
      </x:c>
      <x:c r="Y197" s="99" t="n">
        <x:f>IFERROR(IF(ISBLANK(INDEX('Long_TCAD'!$H$2:$H$176,MATCH(B197,'Long_TCAD'!$A$2:$A$176,0))),"",INDEX('Long_TCAD'!$H$2:$H$176,MATCH(B197,'Long_TCAD'!$A$2:$A$176,0))),"")</x:f>
        <x:v>0.882</x:v>
      </x:c>
      <x:c r="Z197" s="100" t="n">
        <x:f>IFERROR(IF(ISBLANK(INDEX('Long_TCAD'!$I$2:$I$176,MATCH(B197,'Long_TCAD'!$A$2:$A$176,0))),"",INDEX('Long_TCAD'!$I$2:$I$176,MATCH(B197,'Long_TCAD'!$A$2:$A$176,0))),"")</x:f>
        <x:v>86.288</x:v>
      </x:c>
      <x:c r="AA197" s="96" t="n">
        <x:f>IFERROR(IF(ISBLANK(INDEX('Long_TCAD'!$J$2:$J$176,MATCH(B197,'Long_TCAD'!$A$2:$A$176,0))),"",INDEX('Long_TCAD'!$J$2:$J$176,MATCH(B197,'Long_TCAD'!$A$2:$A$176,0))),"")</x:f>
        <x:v>0.0001316</x:v>
      </x:c>
      <x:c r="AB197" s="96" t="n">
        <x:f>IFERROR(IF(ISBLANK(INDEX('Long_TCAD'!$K$2:$K$176,MATCH(B197,'Long_TCAD'!$A$2:$A$176,0))),"",INDEX('Long_TCAD'!$K$2:$K$176,MATCH(B197,'Long_TCAD'!$A$2:$A$176,0))),"")</x:f>
        <x:v>4.497e-16</x:v>
      </x:c>
      <x:c r="AC197" s="95" t="n">
        <x:f>IF(OR(NOT(ISNUMBER(AA197)),NOT(ISNUMBER(AB197))),"",AA197/AB197)</x:f>
        <x:v>292639537469.4241</x:v>
      </x:c>
      <x:c r="AD197" s="93" t="n">
        <x:f>IF(NOT(ISNUMBER(Y197)),"",ABS(Y197-T197)*1000)</x:f>
        <x:v>1.3366666666672078</x:v>
      </x:c>
      <x:c r="AE197" s="93" t="n">
        <x:f>IF(NOT(ISNUMBER(Z197)),"",ABS(Z197-U197))</x:f>
        <x:v>0.1909034383141801</x:v>
      </x:c>
      <x:c r="AF197" s="93" t="n">
        <x:f>IF(NOT(ISNUMBER(AA197)),"",ABS(LOG10(AA197)-LOG10(V197)))</x:f>
        <x:v>0.006565974898840032</x:v>
      </x:c>
      <x:c r="AG197" s="93" t="n">
        <x:f>IF(NOT(ISNUMBER(AB197)),"",ABS(LOG10(AB197)-LOG10(W197)))</x:f>
        <x:v>0.08215907919839971</x:v>
      </x:c>
      <x:c r="AH197" s="93" t="n">
        <x:f>IF(NOT(ISNUMBER(AC197)),"",ABS(LOG10(AC197)-LOG10(X197)))</x:f>
        <x:v>0.08872505409719977</x:v>
      </x:c>
      <x:c r="AI197" s="85" t="str">
        <x:f>IF(OR(NOT(ISNUMBER(Y197)),NOT(ISNUMBER(Z197)),NOT(ISNUMBER(AA197)),NOT(ISNUMBER(AB197))),"",IF(AND(Y197&gt;=0.3,Y197&lt;=1.2,Z197&lt;=200,AA197&gt;=1E-4,AB197&lt;=1E-6),"PASS","FAIL"))</x:f>
        <x:v>PASS</x:v>
      </x:c>
      <x:c r="AJ197" s="85" t="str"/>
    </x:row>
    <x:row r="198">
      <x:c r="A198" s="85" t="str">
        <x:v>L1000-47</x:v>
      </x:c>
      <x:c r="B198" s="85" t="str">
        <x:v>LR144</x:v>
      </x:c>
      <x:c r="C198" s="93" t="n">
        <x:v>1</x:v>
      </x:c>
      <x:c r="D198" s="93" t="str">
        <x:v>Practical</x:v>
      </x:c>
      <x:c r="E198" s="93" t="n">
        <x:v>1</x:v>
      </x:c>
      <x:c r="F198" s="94" t="n">
        <x:v>415553</x:v>
      </x:c>
      <x:c r="G198" s="93" t="n">
        <x:v>0.887</x:v>
      </x:c>
      <x:c r="H198" s="93" t="n">
        <x:v>83.492</x:v>
      </x:c>
      <x:c r="I198" s="95" t="n">
        <x:v>0.0001311</x:v>
      </x:c>
      <x:c r="J198" s="95" t="n">
        <x:v>4.380005075119381e-16</x:v>
      </x:c>
      <x:c r="K198" s="95" t="n">
        <x:v>299314721676.26825</x:v>
      </x:c>
      <x:c r="L198" s="95" t="n">
        <x:v>51503769821650.1</x:v>
      </x:c>
      <x:c r="M198" s="95" t="n">
        <x:v>12.579854900944818</x:v>
      </x:c>
      <x:c r="N198" s="95" t="n">
        <x:v>17431546101493270</x:v>
      </x:c>
      <x:c r="O198" s="95" t="n">
        <x:v>24.34971339346792</x:v>
      </x:c>
      <x:c r="P198" s="93"/>
      <x:c r="Q198" s="95"/>
      <x:c r="R198" s="95"/>
      <x:c r="S198" s="97" t="n">
        <x:v>1</x:v>
      </x:c>
      <x:c r="T198" s="93" t="n">
        <x:v>0.8886200000000036</x:v>
      </x:c>
      <x:c r="U198" s="98" t="n">
        <x:v>84.19308568786587</x:v>
      </x:c>
      <x:c r="V198" s="95" t="n">
        <x:v>0.00013286952441495412</x:v>
      </x:c>
      <x:c r="W198" s="95" t="n">
        <x:v>4.401659614868782e-16</x:v>
      </x:c>
      <x:c r="X198" s="95" t="n">
        <x:v>301862333848.1731</x:v>
      </x:c>
      <x:c r="Y198" s="99" t="n">
        <x:f>IFERROR(IF(ISBLANK(INDEX('Long_TCAD'!$H$2:$H$176,MATCH(B198,'Long_TCAD'!$A$2:$A$176,0))),"",INDEX('Long_TCAD'!$H$2:$H$176,MATCH(B198,'Long_TCAD'!$A$2:$A$176,0))),"")</x:f>
        <x:v>0.888</x:v>
      </x:c>
      <x:c r="Z198" s="100" t="n">
        <x:f>IFERROR(IF(ISBLANK(INDEX('Long_TCAD'!$I$2:$I$176,MATCH(B198,'Long_TCAD'!$A$2:$A$176,0))),"",INDEX('Long_TCAD'!$I$2:$I$176,MATCH(B198,'Long_TCAD'!$A$2:$A$176,0))),"")</x:f>
        <x:v>86.613</x:v>
      </x:c>
      <x:c r="AA198" s="96" t="n">
        <x:f>IFERROR(IF(ISBLANK(INDEX('Long_TCAD'!$J$2:$J$176,MATCH(B198,'Long_TCAD'!$A$2:$A$176,0))),"",INDEX('Long_TCAD'!$J$2:$J$176,MATCH(B198,'Long_TCAD'!$A$2:$A$176,0))),"")</x:f>
        <x:v>0.000138</x:v>
      </x:c>
      <x:c r="AB198" s="96" t="n">
        <x:f>IFERROR(IF(ISBLANK(INDEX('Long_TCAD'!$K$2:$K$176,MATCH(B198,'Long_TCAD'!$A$2:$A$176,0))),"",INDEX('Long_TCAD'!$K$2:$K$176,MATCH(B198,'Long_TCAD'!$A$2:$A$176,0))),"")</x:f>
        <x:v>3.22e-16</x:v>
      </x:c>
      <x:c r="AC198" s="95" t="n">
        <x:f>IF(OR(NOT(ISNUMBER(AA198)),NOT(ISNUMBER(AB198))),"",AA198/AB198)</x:f>
        <x:v>428571428571.4285</x:v>
      </x:c>
      <x:c r="AD198" s="93" t="n">
        <x:f>IF(NOT(ISNUMBER(Y198)),"",ABS(Y198-T198)*1000)</x:f>
        <x:v>0.6200000000036177</x:v>
      </x:c>
      <x:c r="AE198" s="93" t="n">
        <x:f>IF(NOT(ISNUMBER(Z198)),"",ABS(Z198-U198))</x:f>
        <x:v>2.419914312134125</x:v>
      </x:c>
      <x:c r="AF198" s="93" t="n">
        <x:f>IF(NOT(ISNUMBER(AA198)),"",ABS(LOG10(AA198)-LOG10(V198)))</x:f>
        <x:v>0.01645370588112982</x:v>
      </x:c>
      <x:c r="AG198" s="93" t="n">
        <x:f>IF(NOT(ISNUMBER(AB198)),"",ABS(LOG10(AB198)-LOG10(W198)))</x:f>
        <x:v>0.13576058335480035</x:v>
      </x:c>
      <x:c r="AH198" s="93" t="n">
        <x:f>IF(NOT(ISNUMBER(AC198)),"",ABS(LOG10(AC198)-LOG10(X198)))</x:f>
        <x:v>0.15221428923589997</x:v>
      </x:c>
      <x:c r="AI198" s="85" t="str">
        <x:f>IF(OR(NOT(ISNUMBER(Y198)),NOT(ISNUMBER(Z198)),NOT(ISNUMBER(AA198)),NOT(ISNUMBER(AB198))),"",IF(AND(Y198&gt;=0.3,Y198&lt;=1.2,Z198&lt;=200,AA198&gt;=1E-4,AB198&lt;=1E-6),"PASS","FAIL"))</x:f>
        <x:v>PASS</x:v>
      </x:c>
      <x:c r="AJ198" s="85" t="str"/>
    </x:row>
    <x:row r="199">
      <x:c r="A199" s="85" t="str">
        <x:v>L1000-48</x:v>
      </x:c>
      <x:c r="B199" s="85" t="str">
        <x:v>LR174</x:v>
      </x:c>
      <x:c r="C199" s="93" t="n">
        <x:v>1</x:v>
      </x:c>
      <x:c r="D199" s="93" t="str">
        <x:v>Practical</x:v>
      </x:c>
      <x:c r="E199" s="93" t="n">
        <x:v>1</x:v>
      </x:c>
      <x:c r="F199" s="94" t="n">
        <x:v>425260</x:v>
      </x:c>
      <x:c r="G199" s="93" t="n">
        <x:v>0.887</x:v>
      </x:c>
      <x:c r="H199" s="93" t="n">
        <x:v>84.38405963128821</x:v>
      </x:c>
      <x:c r="I199" s="95" t="n">
        <x:v>0.000156051243439899</x:v>
      </x:c>
      <x:c r="J199" s="95" t="n">
        <x:v>4.726714031106634e-16</x:v>
      </x:c>
      <x:c r="K199" s="95" t="n">
        <x:v>330147418297.19653</x:v>
      </x:c>
      <x:c r="L199" s="95" t="n">
        <x:v>259746878428230.06</x:v>
      </x:c>
      <x:c r="M199" s="95" t="n">
        <x:v>57.14554396382968</x:v>
      </x:c>
      <x:c r="N199" s="95" t="n">
        <x:v>996724496472035800</x:v>
      </x:c>
      <x:c r="O199" s="95" t="n">
        <x:v>12.843315988804589</x:v>
      </x:c>
      <x:c r="P199" s="93"/>
      <x:c r="Q199" s="95"/>
      <x:c r="R199" s="95"/>
      <x:c r="S199" s="97" t="n">
        <x:v>1</x:v>
      </x:c>
      <x:c r="T199" s="93" t="n">
        <x:v>0.8861066666666652</x:v>
      </x:c>
      <x:c r="U199" s="98" t="n">
        <x:v>84.88365848074754</x:v>
      </x:c>
      <x:c r="V199" s="95" t="n">
        <x:v>0.00014231990898163203</x:v>
      </x:c>
      <x:c r="W199" s="95" t="n">
        <x:v>4.850008726477804e-16</x:v>
      </x:c>
      <x:c r="X199" s="95" t="n">
        <x:v>293442583318.78973</x:v>
      </x:c>
      <x:c r="Y199" s="99" t="n">
        <x:f>IFERROR(IF(ISBLANK(INDEX('Long_TCAD'!$H$2:$H$176,MATCH(B199,'Long_TCAD'!$A$2:$A$176,0))),"",INDEX('Long_TCAD'!$H$2:$H$176,MATCH(B199,'Long_TCAD'!$A$2:$A$176,0))),"")</x:f>
        <x:v>0.887</x:v>
      </x:c>
      <x:c r="Z199" s="100" t="n">
        <x:f>IFERROR(IF(ISBLANK(INDEX('Long_TCAD'!$I$2:$I$176,MATCH(B199,'Long_TCAD'!$A$2:$A$176,0))),"",INDEX('Long_TCAD'!$I$2:$I$176,MATCH(B199,'Long_TCAD'!$A$2:$A$176,0))),"")</x:f>
        <x:v>85.964</x:v>
      </x:c>
      <x:c r="AA199" s="96" t="n">
        <x:f>IFERROR(IF(ISBLANK(INDEX('Long_TCAD'!$J$2:$J$176,MATCH(B199,'Long_TCAD'!$A$2:$A$176,0))),"",INDEX('Long_TCAD'!$J$2:$J$176,MATCH(B199,'Long_TCAD'!$A$2:$A$176,0))),"")</x:f>
        <x:v>0.0001421</x:v>
      </x:c>
      <x:c r="AB199" s="96" t="n">
        <x:f>IFERROR(IF(ISBLANK(INDEX('Long_TCAD'!$K$2:$K$176,MATCH(B199,'Long_TCAD'!$A$2:$A$176,0))),"",INDEX('Long_TCAD'!$K$2:$K$176,MATCH(B199,'Long_TCAD'!$A$2:$A$176,0))),"")</x:f>
        <x:v>4.056e-16</x:v>
      </x:c>
      <x:c r="AC199" s="95" t="n">
        <x:f>IF(OR(NOT(ISNUMBER(AA199)),NOT(ISNUMBER(AB199))),"",AA199/AB199)</x:f>
        <x:v>350345167652.86</x:v>
      </x:c>
      <x:c r="AD199" s="93" t="n">
        <x:f>IF(NOT(ISNUMBER(Y199)),"",ABS(Y199-T199)*1000)</x:f>
        <x:v>0.8933333333348559</x:v>
      </x:c>
      <x:c r="AE199" s="93" t="n">
        <x:f>IF(NOT(ISNUMBER(Z199)),"",ABS(Z199-U199))</x:f>
        <x:v>1.0803415192524568</x:v>
      </x:c>
      <x:c r="AF199" s="93" t="n">
        <x:f>IF(NOT(ISNUMBER(AA199)),"",ABS(LOG10(AA199)-LOG10(V199)))</x:f>
        <x:v>0.0006715794025602406</x:v>
      </x:c>
      <x:c r="AG199" s="93" t="n">
        <x:f>IF(NOT(ISNUMBER(AB199)),"",ABS(LOG10(AB199)-LOG10(W199)))</x:f>
        <x:v>0.07764457369090039</x:v>
      </x:c>
      <x:c r="AH199" s="93" t="n">
        <x:f>IF(NOT(ISNUMBER(AC199)),"",ABS(LOG10(AC199)-LOG10(X199)))</x:f>
        <x:v>0.07697299428840054</x:v>
      </x:c>
      <x:c r="AI199" s="85" t="str">
        <x:f>IF(OR(NOT(ISNUMBER(Y199)),NOT(ISNUMBER(Z199)),NOT(ISNUMBER(AA199)),NOT(ISNUMBER(AB199))),"",IF(AND(Y199&gt;=0.3,Y199&lt;=1.2,Z199&lt;=200,AA199&gt;=1E-4,AB199&lt;=1E-6),"PASS","FAIL"))</x:f>
        <x:v>PASS</x:v>
      </x:c>
      <x:c r="AJ199" s="85" t="str"/>
    </x:row>
    <x:row r="200">
      <x:c r="A200" s="85" t="str">
        <x:v>L1000-49</x:v>
      </x:c>
      <x:c r="B200" s="85" t="str">
        <x:v>LR175</x:v>
      </x:c>
      <x:c r="C200" s="93" t="n">
        <x:v>1</x:v>
      </x:c>
      <x:c r="D200" s="93" t="str">
        <x:v>Practical</x:v>
      </x:c>
      <x:c r="E200" s="93" t="n">
        <x:v>1</x:v>
      </x:c>
      <x:c r="F200" s="94" t="n">
        <x:v>413641</x:v>
      </x:c>
      <x:c r="G200" s="93" t="n">
        <x:v>0.8739381316161866</x:v>
      </x:c>
      <x:c r="H200" s="93" t="n">
        <x:v>84.2153411532965</x:v>
      </x:c>
      <x:c r="I200" s="95" t="n">
        <x:v>0.0001311</x:v>
      </x:c>
      <x:c r="J200" s="95" t="n">
        <x:v>4.20398972956322e-16</x:v>
      </x:c>
      <x:c r="K200" s="95" t="n">
        <x:v>311846622930.7863</x:v>
      </x:c>
      <x:c r="L200" s="95" t="n">
        <x:v>501619191750052.1</x:v>
      </x:c>
      <x:c r="M200" s="95" t="n">
        <x:v>12.218568298814183</x:v>
      </x:c>
      <x:c r="N200" s="95" t="n">
        <x:v>438872982295843.2</x:v>
      </x:c>
      <x:c r="O200" s="95" t="n">
        <x:v>35.099402952628566</x:v>
      </x:c>
      <x:c r="P200" s="93"/>
      <x:c r="Q200" s="95"/>
      <x:c r="R200" s="95"/>
      <x:c r="S200" s="97" t="n">
        <x:v>1</x:v>
      </x:c>
      <x:c r="T200" s="93" t="n">
        <x:v>0.877193333333329</x:v>
      </x:c>
      <x:c r="U200" s="98" t="n">
        <x:v>86.2168805051569</x:v>
      </x:c>
      <x:c r="V200" s="95" t="n">
        <x:v>0.0001322863115003718</x:v>
      </x:c>
      <x:c r="W200" s="95" t="n">
        <x:v>4.166717480624926e-16</x:v>
      </x:c>
      <x:c r="X200" s="95" t="n">
        <x:v>317483275781.23065</x:v>
      </x:c>
      <x:c r="Y200" s="99" t="n">
        <x:f>IFERROR(IF(ISBLANK(INDEX('Long_TCAD'!$H$2:$H$176,MATCH(B200,'Long_TCAD'!$A$2:$A$176,0))),"",INDEX('Long_TCAD'!$H$2:$H$176,MATCH(B200,'Long_TCAD'!$A$2:$A$176,0))),"")</x:f>
        <x:v>0.887</x:v>
      </x:c>
      <x:c r="Z200" s="100" t="n">
        <x:f>IFERROR(IF(ISBLANK(INDEX('Long_TCAD'!$I$2:$I$176,MATCH(B200,'Long_TCAD'!$A$2:$A$176,0))),"",INDEX('Long_TCAD'!$I$2:$I$176,MATCH(B200,'Long_TCAD'!$A$2:$A$176,0))),"")</x:f>
        <x:v>86.213</x:v>
      </x:c>
      <x:c r="AA200" s="96" t="n">
        <x:f>IFERROR(IF(ISBLANK(INDEX('Long_TCAD'!$J$2:$J$176,MATCH(B200,'Long_TCAD'!$A$2:$A$176,0))),"",INDEX('Long_TCAD'!$J$2:$J$176,MATCH(B200,'Long_TCAD'!$A$2:$A$176,0))),"")</x:f>
        <x:v>0.0001363</x:v>
      </x:c>
      <x:c r="AB200" s="96" t="n">
        <x:f>IFERROR(IF(ISBLANK(INDEX('Long_TCAD'!$K$2:$K$176,MATCH(B200,'Long_TCAD'!$A$2:$A$176,0))),"",INDEX('Long_TCAD'!$K$2:$K$176,MATCH(B200,'Long_TCAD'!$A$2:$A$176,0))),"")</x:f>
        <x:v>3.746e-16</x:v>
      </x:c>
      <x:c r="AC200" s="95" t="n">
        <x:f>IF(OR(NOT(ISNUMBER(AA200)),NOT(ISNUMBER(AB200))),"",AA200/AB200)</x:f>
        <x:v>363854778430.3257</x:v>
      </x:c>
      <x:c r="AD200" s="93" t="n">
        <x:f>IF(NOT(ISNUMBER(Y200)),"",ABS(Y200-T200)*1000)</x:f>
        <x:v>9.80666666667096</x:v>
      </x:c>
      <x:c r="AE200" s="93" t="n">
        <x:f>IF(NOT(ISNUMBER(Z200)),"",ABS(Z200-U200))</x:f>
        <x:v>0.0038805051568999716</x:v>
      </x:c>
      <x:c r="AF200" s="93" t="n">
        <x:f>IF(NOT(ISNUMBER(AA200)),"",ABS(LOG10(AA200)-LOG10(V200)))</x:f>
        <x:v>0.012980948513519941</x:v>
      </x:c>
      <x:c r="AG200" s="93" t="n">
        <x:f>IF(NOT(ISNUMBER(AB200)),"",ABS(LOG10(AB200)-LOG10(W200)))</x:f>
        <x:v>0.04622628159010134</x:v>
      </x:c>
      <x:c r="AH200" s="93" t="n">
        <x:f>IF(NOT(ISNUMBER(AC200)),"",ABS(LOG10(AC200)-LOG10(X200)))</x:f>
        <x:v>0.059207230103700326</x:v>
      </x:c>
      <x:c r="AI200" s="85" t="str">
        <x:f>IF(OR(NOT(ISNUMBER(Y200)),NOT(ISNUMBER(Z200)),NOT(ISNUMBER(AA200)),NOT(ISNUMBER(AB200))),"",IF(AND(Y200&gt;=0.3,Y200&lt;=1.2,Z200&lt;=200,AA200&gt;=1E-4,AB200&lt;=1E-6),"PASS","FAIL"))</x:f>
        <x:v>PASS</x:v>
      </x:c>
      <x:c r="AJ200" s="85" t="str"/>
    </x:row>
    <x:row r="201">
      <x:c r="A201" s="85" t="str">
        <x:v>L1000-50</x:v>
      </x:c>
      <x:c r="B201" s="85" t="str">
        <x:v>LR144</x:v>
      </x:c>
      <x:c r="C201" s="93" t="n">
        <x:v>1</x:v>
      </x:c>
      <x:c r="D201" s="93" t="str">
        <x:v>Practical</x:v>
      </x:c>
      <x:c r="E201" s="93" t="n">
        <x:v>1</x:v>
      </x:c>
      <x:c r="F201" s="94" t="n">
        <x:v>413500</x:v>
      </x:c>
      <x:c r="G201" s="93" t="n">
        <x:v>0.8836147333558219</x:v>
      </x:c>
      <x:c r="H201" s="93" t="n">
        <x:v>83.492</x:v>
      </x:c>
      <x:c r="I201" s="95" t="n">
        <x:v>0.00013178317783630255</x:v>
      </x:c>
      <x:c r="J201" s="95" t="n">
        <x:v>4.2602895886737233e-16</x:v>
      </x:c>
      <x:c r="K201" s="95" t="n">
        <x:v>309329154963.21497</x:v>
      </x:c>
      <x:c r="L201" s="95" t="n">
        <x:v>51503769821650.1</x:v>
      </x:c>
      <x:c r="M201" s="95" t="n">
        <x:v>12.579854900944818</x:v>
      </x:c>
      <x:c r="N201" s="95" t="n">
        <x:v>17431546101493270</x:v>
      </x:c>
      <x:c r="O201" s="95" t="n">
        <x:v>24.34971339346792</x:v>
      </x:c>
      <x:c r="P201" s="93"/>
      <x:c r="Q201" s="95"/>
      <x:c r="R201" s="95"/>
      <x:c r="S201" s="97" t="n">
        <x:v>1</x:v>
      </x:c>
      <x:c r="T201" s="93" t="n">
        <x:v>0.8886200000000036</x:v>
      </x:c>
      <x:c r="U201" s="98" t="n">
        <x:v>84.19308568786587</x:v>
      </x:c>
      <x:c r="V201" s="95" t="n">
        <x:v>0.00013286952441495412</x:v>
      </x:c>
      <x:c r="W201" s="95" t="n">
        <x:v>4.401659614868782e-16</x:v>
      </x:c>
      <x:c r="X201" s="95" t="n">
        <x:v>301862333848.1731</x:v>
      </x:c>
      <x:c r="Y201" s="99" t="n">
        <x:f>IFERROR(IF(ISBLANK(INDEX('Long_TCAD'!$H$2:$H$176,MATCH(B201,'Long_TCAD'!$A$2:$A$176,0))),"",INDEX('Long_TCAD'!$H$2:$H$176,MATCH(B201,'Long_TCAD'!$A$2:$A$176,0))),"")</x:f>
        <x:v>0.888</x:v>
      </x:c>
      <x:c r="Z201" s="100" t="n">
        <x:f>IFERROR(IF(ISBLANK(INDEX('Long_TCAD'!$I$2:$I$176,MATCH(B201,'Long_TCAD'!$A$2:$A$176,0))),"",INDEX('Long_TCAD'!$I$2:$I$176,MATCH(B201,'Long_TCAD'!$A$2:$A$176,0))),"")</x:f>
        <x:v>86.613</x:v>
      </x:c>
      <x:c r="AA201" s="96" t="n">
        <x:f>IFERROR(IF(ISBLANK(INDEX('Long_TCAD'!$J$2:$J$176,MATCH(B201,'Long_TCAD'!$A$2:$A$176,0))),"",INDEX('Long_TCAD'!$J$2:$J$176,MATCH(B201,'Long_TCAD'!$A$2:$A$176,0))),"")</x:f>
        <x:v>0.000138</x:v>
      </x:c>
      <x:c r="AB201" s="96" t="n">
        <x:f>IFERROR(IF(ISBLANK(INDEX('Long_TCAD'!$K$2:$K$176,MATCH(B201,'Long_TCAD'!$A$2:$A$176,0))),"",INDEX('Long_TCAD'!$K$2:$K$176,MATCH(B201,'Long_TCAD'!$A$2:$A$176,0))),"")</x:f>
        <x:v>3.22e-16</x:v>
      </x:c>
      <x:c r="AC201" s="95" t="n">
        <x:f>IF(OR(NOT(ISNUMBER(AA201)),NOT(ISNUMBER(AB201))),"",AA201/AB201)</x:f>
        <x:v>428571428571.4285</x:v>
      </x:c>
      <x:c r="AD201" s="93" t="n">
        <x:f>IF(NOT(ISNUMBER(Y201)),"",ABS(Y201-T201)*1000)</x:f>
        <x:v>0.6200000000036177</x:v>
      </x:c>
      <x:c r="AE201" s="93" t="n">
        <x:f>IF(NOT(ISNUMBER(Z201)),"",ABS(Z201-U201))</x:f>
        <x:v>2.419914312134125</x:v>
      </x:c>
      <x:c r="AF201" s="93" t="n">
        <x:f>IF(NOT(ISNUMBER(AA201)),"",ABS(LOG10(AA201)-LOG10(V201)))</x:f>
        <x:v>0.01645370588112982</x:v>
      </x:c>
      <x:c r="AG201" s="93" t="n">
        <x:f>IF(NOT(ISNUMBER(AB201)),"",ABS(LOG10(AB201)-LOG10(W201)))</x:f>
        <x:v>0.13576058335480035</x:v>
      </x:c>
      <x:c r="AH201" s="93" t="n">
        <x:f>IF(NOT(ISNUMBER(AC201)),"",ABS(LOG10(AC201)-LOG10(X201)))</x:f>
        <x:v>0.15221428923589997</x:v>
      </x:c>
      <x:c r="AI201" s="85" t="str">
        <x:f>IF(OR(NOT(ISNUMBER(Y201)),NOT(ISNUMBER(Z201)),NOT(ISNUMBER(AA201)),NOT(ISNUMBER(AB201))),"",IF(AND(Y201&gt;=0.3,Y201&lt;=1.2,Z201&lt;=200,AA201&gt;=1E-4,AB201&lt;=1E-6),"PASS","FAIL"))</x:f>
        <x:v>PASS</x:v>
      </x:c>
      <x:c r="AJ201" s="85" t="str"/>
    </x:row>
  </x:sheetData>
  <x:conditionalFormatting sqref="AI2:AI201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2c0dd7d5ad943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105" t="str">
        <x:v>RecipeID</x:v>
      </x:c>
      <x:c r="B1" s="105" t="str">
        <x:v>CaseIDs</x:v>
      </x:c>
      <x:c r="C1" s="105" t="str">
        <x:v>Lg_um</x:v>
      </x:c>
      <x:c r="D1" s="105" t="str">
        <x:v>LDD_Dose_cm-2</x:v>
      </x:c>
      <x:c r="E1" s="105" t="str">
        <x:v>LDD_Energy_keV</x:v>
      </x:c>
      <x:c r="F1" s="105" t="str">
        <x:v>SD_Dose_cm-2</x:v>
      </x:c>
      <x:c r="G1" s="105" t="str">
        <x:v>SD_Energy_keV</x:v>
      </x:c>
      <x:c r="H1" s="105" t="str">
        <x:v>Anneal_s</x:v>
      </x:c>
      <x:c r="I1" s="105" t="str">
        <x:v>Halo_Dose_cm-2</x:v>
      </x:c>
      <x:c r="J1" s="105" t="str">
        <x:v>Halo_Energy_keV</x:v>
      </x:c>
      <x:c r="K1" s="106" t="str">
        <x:v>TCAD_Vth_V</x:v>
      </x:c>
      <x:c r="L1" s="106" t="str">
        <x:v>TCAD_SS_mVdec</x:v>
      </x:c>
      <x:c r="M1" s="106" t="str">
        <x:v>TCAD_Ion_A</x:v>
      </x:c>
      <x:c r="N1" s="106" t="str">
        <x:v>TCAD_Ioff_A</x:v>
      </x:c>
    </x:row>
    <x:row r="2">
      <x:c r="A2" s="31" t="str">
        <x:v>R001</x:v>
      </x:c>
      <x:c r="B2" s="31" t="str">
        <x:v>S065-01</x:v>
      </x:c>
      <x:c r="C2" s="35" t="n">
        <x:v>0.065</x:v>
      </x:c>
      <x:c r="D2" s="108" t="n">
        <x:v>40142798461.5687</x:v>
      </x:c>
      <x:c r="E2" s="109" t="n">
        <x:v>5.728985902596869</x:v>
      </x:c>
      <x:c r="F2" s="108" t="n">
        <x:v>15310216188905.408</x:v>
      </x:c>
      <x:c r="G2" s="109" t="n">
        <x:v>7.274582123146199</x:v>
      </x:c>
      <x:c r="H2" s="109" t="n">
        <x:v>0.4874906821446736</x:v>
      </x:c>
      <x:c r="I2" s="108" t="n">
        <x:v>1328751253652.328</x:v>
      </x:c>
      <x:c r="J2" s="109" t="n">
        <x:v>3.745769595143406</x:v>
      </x:c>
      <x:c r="K2" s="110" t="n">
        <x:v>0.501</x:v>
      </x:c>
      <x:c r="L2" s="111" t="n">
        <x:v>78.678</x:v>
      </x:c>
      <x:c r="M2" s="112" t="n">
        <x:v>0.0006662</x:v>
      </x:c>
      <x:c r="N2" s="112" t="n">
        <x:v>6.305e-11</x:v>
      </x:c>
    </x:row>
    <x:row r="3">
      <x:c r="A3" s="31" t="str">
        <x:v>R002</x:v>
      </x:c>
      <x:c r="B3" s="31" t="str">
        <x:v>S065-02</x:v>
      </x:c>
      <x:c r="C3" s="35" t="n">
        <x:v>0.065</x:v>
      </x:c>
      <x:c r="D3" s="108" t="n">
        <x:v>11973326093.028902</x:v>
      </x:c>
      <x:c r="E3" s="109" t="n">
        <x:v>14.21125133326118</x:v>
      </x:c>
      <x:c r="F3" s="108" t="n">
        <x:v>182123360151032.44</x:v>
      </x:c>
      <x:c r="G3" s="109" t="n">
        <x:v>7.555042659486076</x:v>
      </x:c>
      <x:c r="H3" s="109" t="n">
        <x:v>0.39200178286596743</x:v>
      </x:c>
      <x:c r="I3" s="108" t="n">
        <x:v>57729744917782.89</x:v>
      </x:c>
      <x:c r="J3" s="109" t="n">
        <x:v>7.806783451306394</x:v>
      </x:c>
      <x:c r="K3" s="110" t="n">
        <x:v>0.757</x:v>
      </x:c>
      <x:c r="L3" s="111" t="n">
        <x:v>77.685</x:v>
      </x:c>
      <x:c r="M3" s="112" t="n">
        <x:v>0.001435</x:v>
      </x:c>
      <x:c r="N3" s="112" t="n">
        <x:v>3.708e-15</x:v>
      </x:c>
    </x:row>
    <x:row r="4">
      <x:c r="A4" s="31" t="str">
        <x:v>R003</x:v>
      </x:c>
      <x:c r="B4" s="31" t="str">
        <x:v>S065-03</x:v>
      </x:c>
      <x:c r="C4" s="35" t="n">
        <x:v>0.065</x:v>
      </x:c>
      <x:c r="D4" s="108" t="n">
        <x:v>47395846658.81343</x:v>
      </x:c>
      <x:c r="E4" s="109" t="n">
        <x:v>14.970791129769744</x:v>
      </x:c>
      <x:c r="F4" s="108" t="n">
        <x:v>132362270166919.69</x:v>
      </x:c>
      <x:c r="G4" s="109" t="n">
        <x:v>10.808620131954628</x:v>
      </x:c>
      <x:c r="H4" s="109" t="n">
        <x:v>0.4813195306365682</x:v>
      </x:c>
      <x:c r="I4" s="108" t="n">
        <x:v>10704588690610.117</x:v>
      </x:c>
      <x:c r="J4" s="109" t="n">
        <x:v>8.544000993766552</x:v>
      </x:c>
      <x:c r="K4" s="110" t="n">
        <x:v>0.493</x:v>
      </x:c>
      <x:c r="L4" s="111" t="n">
        <x:v>167.118</x:v>
      </x:c>
      <x:c r="M4" s="112" t="n">
        <x:v>0.001934</x:v>
      </x:c>
      <x:c r="N4" s="112" t="n">
        <x:v>0.00001034</x:v>
      </x:c>
    </x:row>
    <x:row r="5">
      <x:c r="A5" s="31" t="str">
        <x:v>R004</x:v>
      </x:c>
      <x:c r="B5" s="31" t="str">
        <x:v>S065-04</x:v>
      </x:c>
      <x:c r="C5" s="35" t="n">
        <x:v>0.065</x:v>
      </x:c>
      <x:c r="D5" s="108" t="n">
        <x:v>10476700925.276947</x:v>
      </x:c>
      <x:c r="E5" s="109" t="n">
        <x:v>11.49796600665284</x:v>
      </x:c>
      <x:c r="F5" s="108" t="n">
        <x:v>72569282063147.58</x:v>
      </x:c>
      <x:c r="G5" s="109" t="n">
        <x:v>8.05824705796553</x:v>
      </x:c>
      <x:c r="H5" s="109" t="n">
        <x:v>0.41020519445931</x:v>
      </x:c>
      <x:c r="I5" s="108" t="n">
        <x:v>38246777400939.836</x:v>
      </x:c>
      <x:c r="J5" s="109" t="n">
        <x:v>8.740388971372756</x:v>
      </x:c>
      <x:c r="K5" s="110" t="n">
        <x:v>0.759</x:v>
      </x:c>
      <x:c r="L5" s="111" t="n">
        <x:v>78.659</x:v>
      </x:c>
      <x:c r="M5" s="112" t="n">
        <x:v>0.0007337</x:v>
      </x:c>
      <x:c r="N5" s="112" t="n">
        <x:v>2.626e-15</x:v>
      </x:c>
    </x:row>
    <x:row r="6">
      <x:c r="A6" s="31" t="str">
        <x:v>R005</x:v>
      </x:c>
      <x:c r="B6" s="31" t="str">
        <x:v>S065-05</x:v>
      </x:c>
      <x:c r="C6" s="35" t="n">
        <x:v>0.065</x:v>
      </x:c>
      <x:c r="D6" s="108" t="n">
        <x:v>11666421690.727129</x:v>
      </x:c>
      <x:c r="E6" s="109" t="n">
        <x:v>5.029548409566119</x:v>
      </x:c>
      <x:c r="F6" s="108" t="n">
        <x:v>14579950632640.479</x:v>
      </x:c>
      <x:c r="G6" s="109" t="n">
        <x:v>14.89944097854351</x:v>
      </x:c>
      <x:c r="H6" s="109" t="n">
        <x:v>0.4724655742616191</x:v>
      </x:c>
      <x:c r="I6" s="108" t="n">
        <x:v>2690298099929.9307</x:v>
      </x:c>
      <x:c r="J6" s="109" t="n">
        <x:v>5.399427285955437</x:v>
      </x:c>
      <x:c r="K6" s="110" t="n">
        <x:v>0.461</x:v>
      </x:c>
      <x:c r="L6" s="111" t="n">
        <x:v>97.366</x:v>
      </x:c>
      <x:c r="M6" s="112" t="n">
        <x:v>0.0004032</x:v>
      </x:c>
      <x:c r="N6" s="112" t="n">
        <x:v>1.301e-8</x:v>
      </x:c>
    </x:row>
    <x:row r="7">
      <x:c r="A7" s="31" t="str">
        <x:v>R006</x:v>
      </x:c>
      <x:c r="B7" s="31" t="str">
        <x:v>S065-06</x:v>
      </x:c>
      <x:c r="C7" s="35" t="n">
        <x:v>0.065</x:v>
      </x:c>
      <x:c r="D7" s="108" t="n">
        <x:v>85176266984.52515</x:v>
      </x:c>
      <x:c r="E7" s="109" t="n">
        <x:v>8.37495681903216</x:v>
      </x:c>
      <x:c r="F7" s="108" t="n">
        <x:v>10806674718855.393</x:v>
      </x:c>
      <x:c r="G7" s="109" t="n">
        <x:v>14.858560150289843</x:v>
      </x:c>
      <x:c r="H7" s="109" t="n">
        <x:v>0.4895057733692299</x:v>
      </x:c>
      <x:c r="I7" s="108" t="n">
        <x:v>1960954319786.2866</x:v>
      </x:c>
      <x:c r="J7" s="109" t="n">
        <x:v>3.5943350229918076</x:v>
      </x:c>
      <x:c r="K7" s="110" t="n">
        <x:v>0.454</x:v>
      </x:c>
      <x:c r="L7" s="111" t="n">
        <x:v>93.354</x:v>
      </x:c>
      <x:c r="M7" s="112" t="n">
        <x:v>0.0002371</x:v>
      </x:c>
      <x:c r="N7" s="112" t="n">
        <x:v>4.048e-9</x:v>
      </x:c>
    </x:row>
    <x:row r="8">
      <x:c r="A8" s="31" t="str">
        <x:v>R007</x:v>
      </x:c>
      <x:c r="B8" s="31" t="str">
        <x:v>S065-07</x:v>
      </x:c>
      <x:c r="C8" s="35" t="n">
        <x:v>0.065</x:v>
      </x:c>
      <x:c r="D8" s="108" t="n">
        <x:v>10097537962.158007</x:v>
      </x:c>
      <x:c r="E8" s="109" t="n">
        <x:v>7.94897759378074</x:v>
      </x:c>
      <x:c r="F8" s="108" t="n">
        <x:v>46817729725910.06</x:v>
      </x:c>
      <x:c r="G8" s="109" t="n">
        <x:v>7.510606309949886</x:v>
      </x:c>
      <x:c r="H8" s="109" t="n">
        <x:v>0.13627825535640087</x:v>
      </x:c>
      <x:c r="I8" s="108" t="n">
        <x:v>8195744597555.493</x:v>
      </x:c>
      <x:c r="J8" s="109" t="n">
        <x:v>6.1690779357686685</x:v>
      </x:c>
      <x:c r="K8" s="110" t="n">
        <x:v>0.581</x:v>
      </x:c>
      <x:c r="L8" s="111" t="n">
        <x:v>73.549</x:v>
      </x:c>
      <x:c r="M8" s="112" t="n">
        <x:v>0.0009846</x:v>
      </x:c>
      <x:c r="N8" s="112" t="n">
        <x:v>6.471e-13</x:v>
      </x:c>
    </x:row>
    <x:row r="9">
      <x:c r="A9" s="31" t="str">
        <x:v>R008</x:v>
      </x:c>
      <x:c r="B9" s="31" t="str">
        <x:v>S065-08</x:v>
      </x:c>
      <x:c r="C9" s="35" t="n">
        <x:v>0.065</x:v>
      </x:c>
      <x:c r="D9" s="108" t="n">
        <x:v>25672670449.560524</x:v>
      </x:c>
      <x:c r="E9" s="109" t="n">
        <x:v>5.48789094111089</x:v>
      </x:c>
      <x:c r="F9" s="108" t="n">
        <x:v>104403055112938.08</x:v>
      </x:c>
      <x:c r="G9" s="109" t="n">
        <x:v>7.660692089655597</x:v>
      </x:c>
      <x:c r="H9" s="109" t="n">
        <x:v>0.370298132545704</x:v>
      </x:c>
      <x:c r="I9" s="108" t="n">
        <x:v>17515043451880.338</x:v>
      </x:c>
      <x:c r="J9" s="109" t="n">
        <x:v>8.670068574212692</x:v>
      </x:c>
      <x:c r="K9" s="110" t="n">
        <x:v>0.618</x:v>
      </x:c>
      <x:c r="L9" s="111" t="n">
        <x:v>75.026</x:v>
      </x:c>
      <x:c r="M9" s="112" t="n">
        <x:v>0.001524</x:v>
      </x:c>
      <x:c r="N9" s="112" t="n">
        <x:v>4.774e-13</x:v>
      </x:c>
    </x:row>
    <x:row r="10">
      <x:c r="A10" s="31" t="str">
        <x:v>R009</x:v>
      </x:c>
      <x:c r="B10" s="31" t="str">
        <x:v>S065-09</x:v>
      </x:c>
      <x:c r="C10" s="35" t="n">
        <x:v>0.065</x:v>
      </x:c>
      <x:c r="D10" s="108" t="n">
        <x:v>18234562082.076603</x:v>
      </x:c>
      <x:c r="E10" s="109" t="n">
        <x:v>6.676122346528741</x:v>
      </x:c>
      <x:c r="F10" s="108" t="n">
        <x:v>28729864402643.785</x:v>
      </x:c>
      <x:c r="G10" s="109" t="n">
        <x:v>9.22198148237814</x:v>
      </x:c>
      <x:c r="H10" s="109" t="n">
        <x:v>0.4550327201168613</x:v>
      </x:c>
      <x:c r="I10" s="108" t="n">
        <x:v>2158663381073.0308</x:v>
      </x:c>
      <x:c r="J10" s="109" t="n">
        <x:v>7.421223181209509</x:v>
      </x:c>
      <x:c r="K10" s="110" t="n">
        <x:v>0.498</x:v>
      </x:c>
      <x:c r="L10" s="111" t="n">
        <x:v>86.278</x:v>
      </x:c>
      <x:c r="M10" s="112" t="n">
        <x:v>0.0009416</x:v>
      </x:c>
      <x:c r="N10" s="112" t="n">
        <x:v>1.607e-9</x:v>
      </x:c>
    </x:row>
    <x:row r="11">
      <x:c r="A11" s="31" t="str">
        <x:v>R010</x:v>
      </x:c>
      <x:c r="B11" s="31" t="str">
        <x:v>S065-10</x:v>
      </x:c>
      <x:c r="C11" s="35" t="n">
        <x:v>0.065</x:v>
      </x:c>
      <x:c r="D11" s="108" t="n">
        <x:v>14575654631.771547</x:v>
      </x:c>
      <x:c r="E11" s="109" t="n">
        <x:v>12.010254042025746</x:v>
      </x:c>
      <x:c r="F11" s="108" t="n">
        <x:v>412994437646805.2</x:v>
      </x:c>
      <x:c r="G11" s="109" t="n">
        <x:v>7.390387825225554</x:v>
      </x:c>
      <x:c r="H11" s="109" t="n">
        <x:v>0.45200338611178276</x:v>
      </x:c>
      <x:c r="I11" s="108" t="n">
        <x:v>32652708022678.844</x:v>
      </x:c>
      <x:c r="J11" s="109" t="n">
        <x:v>4.535875388004857</x:v>
      </x:c>
      <x:c r="K11" s="110" t="n">
        <x:v>0.504</x:v>
      </x:c>
      <x:c r="L11" s="111" t="n">
        <x:v>302.931</x:v>
      </x:c>
      <x:c r="M11" s="112" t="n">
        <x:v>0.002475</x:v>
      </x:c>
      <x:c r="N11" s="112" t="n">
        <x:v>0.00006746</x:v>
      </x:c>
    </x:row>
    <x:row r="12">
      <x:c r="A12" s="31" t="str">
        <x:v>R011</x:v>
      </x:c>
      <x:c r="B12" s="31" t="str">
        <x:v>S065-11</x:v>
      </x:c>
      <x:c r="C12" s="35" t="n">
        <x:v>0.065</x:v>
      </x:c>
      <x:c r="D12" s="108" t="n">
        <x:v>25780365989.9528</x:v>
      </x:c>
      <x:c r="E12" s="109" t="n">
        <x:v>14.895176909524446</x:v>
      </x:c>
      <x:c r="F12" s="108" t="n">
        <x:v>160814455313864.1</x:v>
      </x:c>
      <x:c r="G12" s="109" t="n">
        <x:v>9.112864794702094</x:v>
      </x:c>
      <x:c r="H12" s="109" t="n">
        <x:v>0.4297895324475719</x:v>
      </x:c>
      <x:c r="I12" s="108" t="n">
        <x:v>79632512439179.84</x:v>
      </x:c>
      <x:c r="J12" s="109" t="n">
        <x:v>7.71279187391551</x:v>
      </x:c>
      <x:c r="K12" s="110" t="n">
        <x:v>0.872</x:v>
      </x:c>
      <x:c r="L12" s="111" t="n">
        <x:v>80.713</x:v>
      </x:c>
      <x:c r="M12" s="112" t="n">
        <x:v>0.0008998</x:v>
      </x:c>
      <x:c r="N12" s="112" t="n">
        <x:v>3.235e-15</x:v>
      </x:c>
    </x:row>
    <x:row r="13">
      <x:c r="A13" s="31" t="str">
        <x:v>R012</x:v>
      </x:c>
      <x:c r="B13" s="31" t="str">
        <x:v>S065-12</x:v>
      </x:c>
      <x:c r="C13" s="35" t="n">
        <x:v>0.065</x:v>
      </x:c>
      <x:c r="D13" s="108" t="n">
        <x:v>81864606941.61832</x:v>
      </x:c>
      <x:c r="E13" s="109" t="n">
        <x:v>13.005279373869232</x:v>
      </x:c>
      <x:c r="F13" s="108" t="n">
        <x:v>20526642874247.766</x:v>
      </x:c>
      <x:c r="G13" s="109" t="n">
        <x:v>8.74331343049365</x:v>
      </x:c>
      <x:c r="H13" s="109" t="n">
        <x:v>0.38005918806414396</x:v>
      </x:c>
      <x:c r="I13" s="108" t="n">
        <x:v>1625586905574.9307</x:v>
      </x:c>
      <x:c r="J13" s="109" t="n">
        <x:v>5.081064218150965</x:v>
      </x:c>
      <x:c r="K13" s="110" t="n">
        <x:v>0.497</x:v>
      </x:c>
      <x:c r="L13" s="111" t="n">
        <x:v>82.881</x:v>
      </x:c>
      <x:c r="M13" s="112" t="n">
        <x:v>0.0007761</x:v>
      </x:c>
      <x:c r="N13" s="112" t="n">
        <x:v>4.069e-10</x:v>
      </x:c>
    </x:row>
    <x:row r="14">
      <x:c r="A14" s="31" t="str">
        <x:v>R013</x:v>
      </x:c>
      <x:c r="B14" s="31" t="str">
        <x:v>S065-13</x:v>
      </x:c>
      <x:c r="C14" s="35" t="n">
        <x:v>0.065</x:v>
      </x:c>
      <x:c r="D14" s="108" t="n">
        <x:v>31062877799.963364</x:v>
      </x:c>
      <x:c r="E14" s="109" t="n">
        <x:v>9.953053834574852</x:v>
      </x:c>
      <x:c r="F14" s="108" t="n">
        <x:v>324719070548458.4</x:v>
      </x:c>
      <x:c r="G14" s="109" t="n">
        <x:v>7.165883201773852</x:v>
      </x:c>
      <x:c r="H14" s="109" t="n">
        <x:v>0.46749304544231507</x:v>
      </x:c>
      <x:c r="I14" s="108" t="n">
        <x:v>29224170108676.535</x:v>
      </x:c>
      <x:c r="J14" s="109" t="n">
        <x:v>3.543082006192191</x:v>
      </x:c>
      <x:c r="K14" s="110" t="n">
        <x:v>0.548</x:v>
      </x:c>
      <x:c r="L14" s="111" t="n">
        <x:v>187.329</x:v>
      </x:c>
      <x:c r="M14" s="112" t="n">
        <x:v>0.002217</x:v>
      </x:c>
      <x:c r="N14" s="112" t="n">
        <x:v>0.000009726</x:v>
      </x:c>
    </x:row>
    <x:row r="15">
      <x:c r="A15" s="31" t="str">
        <x:v>R014</x:v>
      </x:c>
      <x:c r="B15" s="31" t="str">
        <x:v>S065-14</x:v>
      </x:c>
      <x:c r="C15" s="35" t="n">
        <x:v>0.065</x:v>
      </x:c>
      <x:c r="D15" s="108" t="n">
        <x:v>71307210848.59724</x:v>
      </x:c>
      <x:c r="E15" s="109" t="n">
        <x:v>7.310011697475262</x:v>
      </x:c>
      <x:c r="F15" s="108" t="n">
        <x:v>968186983522537.6</x:v>
      </x:c>
      <x:c r="G15" s="109" t="n">
        <x:v>12.362428017252128</x:v>
      </x:c>
      <x:c r="H15" s="109" t="n">
        <x:v>0.15774812125547194</x:v>
      </x:c>
      <x:c r="I15" s="108" t="n">
        <x:v>87393692590283.5</x:v>
      </x:c>
      <x:c r="J15" s="109" t="n">
        <x:v>5.735681104292362</x:v>
      </x:c>
      <x:c r="K15" s="110" t="n">
        <x:v>0.54</x:v>
      </x:c>
      <x:c r="L15" s="111" t="n">
        <x:v>430.916</x:v>
      </x:c>
      <x:c r="M15" s="112" t="n">
        <x:v>0.002592</x:v>
      </x:c>
      <x:c r="N15" s="112" t="n">
        <x:v>0.0001262</x:v>
      </x:c>
    </x:row>
    <x:row r="16">
      <x:c r="A16" s="31" t="str">
        <x:v>R015</x:v>
      </x:c>
      <x:c r="B16" s="31" t="str">
        <x:v>S065-15</x:v>
      </x:c>
      <x:c r="C16" s="35" t="n">
        <x:v>0.065</x:v>
      </x:c>
      <x:c r="D16" s="108" t="n">
        <x:v>23516924812.010307</x:v>
      </x:c>
      <x:c r="E16" s="109" t="n">
        <x:v>13.753527002036822</x:v>
      </x:c>
      <x:c r="F16" s="108" t="n">
        <x:v>106811616872087.45</x:v>
      </x:c>
      <x:c r="G16" s="109" t="n">
        <x:v>8.16004814793793</x:v>
      </x:c>
      <x:c r="H16" s="109" t="n">
        <x:v>0.11451322514991538</x:v>
      </x:c>
      <x:c r="I16" s="108" t="n">
        <x:v>6820473949144.525</x:v>
      </x:c>
      <x:c r="J16" s="109" t="n">
        <x:v>3.286708966518944</x:v>
      </x:c>
      <x:c r="K16" s="110" t="n">
        <x:v>0.501</x:v>
      </x:c>
      <x:c r="L16" s="111" t="n">
        <x:v>121.208</x:v>
      </x:c>
      <x:c r="M16" s="112" t="n">
        <x:v>0.001532</x:v>
      </x:c>
      <x:c r="N16" s="112" t="n">
        <x:v>3.668e-7</x:v>
      </x:c>
    </x:row>
    <x:row r="17">
      <x:c r="A17" s="31" t="str">
        <x:v>R016</x:v>
      </x:c>
      <x:c r="B17" s="31" t="str">
        <x:v>S065-16</x:v>
      </x:c>
      <x:c r="C17" s="35" t="n">
        <x:v>0.065</x:v>
      </x:c>
      <x:c r="D17" s="108" t="n">
        <x:v>57228233329.38299</x:v>
      </x:c>
      <x:c r="E17" s="109" t="n">
        <x:v>7.908892145964364</x:v>
      </x:c>
      <x:c r="F17" s="108" t="n">
        <x:v>233300782463884</x:v>
      </x:c>
      <x:c r="G17" s="109" t="n">
        <x:v>7.694789638297697</x:v>
      </x:c>
      <x:c r="H17" s="109" t="n">
        <x:v>0.13219032525590926</x:v>
      </x:c>
      <x:c r="I17" s="108" t="n">
        <x:v>34695003860309.27</x:v>
      </x:c>
      <x:c r="J17" s="109" t="n">
        <x:v>8.91312608300641</x:v>
      </x:c>
      <x:c r="K17" s="110" t="n">
        <x:v>0.666</x:v>
      </x:c>
      <x:c r="L17" s="111" t="n">
        <x:v>75.928</x:v>
      </x:c>
      <x:c r="M17" s="112" t="n">
        <x:v>0.001751</x:v>
      </x:c>
      <x:c r="N17" s="112" t="n">
        <x:v>8.48e-14</x:v>
      </x:c>
    </x:row>
    <x:row r="18">
      <x:c r="A18" s="31" t="str">
        <x:v>R017</x:v>
      </x:c>
      <x:c r="B18" s="31" t="str">
        <x:v>S065-17</x:v>
      </x:c>
      <x:c r="C18" s="35" t="n">
        <x:v>0.065</x:v>
      </x:c>
      <x:c r="D18" s="108" t="n">
        <x:v>48074789060.56562</x:v>
      </x:c>
      <x:c r="E18" s="109" t="n">
        <x:v>14.911277782137198</x:v>
      </x:c>
      <x:c r="F18" s="108" t="n">
        <x:v>13473650165024.037</x:v>
      </x:c>
      <x:c r="G18" s="109" t="n">
        <x:v>13.13579460489353</x:v>
      </x:c>
      <x:c r="H18" s="109" t="n">
        <x:v>0.11240726331273723</x:v>
      </x:c>
      <x:c r="I18" s="108" t="n">
        <x:v>1081846334300.5627</x:v>
      </x:c>
      <x:c r="J18" s="109" t="n">
        <x:v>5.4222287314851325</x:v>
      </x:c>
      <x:c r="K18" s="110" t="n">
        <x:v>0.46</x:v>
      </x:c>
      <x:c r="L18" s="111" t="n">
        <x:v>99.389</x:v>
      </x:c>
      <x:c r="M18" s="112" t="n">
        <x:v>0.0005231</x:v>
      </x:c>
      <x:c r="N18" s="112" t="n">
        <x:v>1.995e-8</x:v>
      </x:c>
    </x:row>
    <x:row r="19">
      <x:c r="A19" s="31" t="str">
        <x:v>R018</x:v>
      </x:c>
      <x:c r="B19" s="31" t="str">
        <x:v>S065-18</x:v>
      </x:c>
      <x:c r="C19" s="35" t="n">
        <x:v>0.065</x:v>
      </x:c>
      <x:c r="D19" s="108" t="n">
        <x:v>92770283522.70969</x:v>
      </x:c>
      <x:c r="E19" s="109" t="n">
        <x:v>14.434859727369236</x:v>
      </x:c>
      <x:c r="F19" s="108" t="n">
        <x:v>12155272360421.492</x:v>
      </x:c>
      <x:c r="G19" s="109" t="n">
        <x:v>11.48274016976315</x:v>
      </x:c>
      <x:c r="H19" s="109" t="n">
        <x:v>0.1625936070565822</x:v>
      </x:c>
      <x:c r="I19" s="108" t="n">
        <x:v>3113658461793.243</x:v>
      </x:c>
      <x:c r="J19" s="109" t="n">
        <x:v>6.409825311090411</x:v>
      </x:c>
      <x:c r="K19" s="110" t="n">
        <x:v>0.499</x:v>
      </x:c>
      <x:c r="L19" s="111" t="n">
        <x:v>75.185</x:v>
      </x:c>
      <x:c r="M19" s="112" t="n">
        <x:v>0.0003728</x:v>
      </x:c>
      <x:c r="N19" s="112" t="n">
        <x:v>1.071e-11</x:v>
      </x:c>
    </x:row>
    <x:row r="20">
      <x:c r="A20" s="31" t="str">
        <x:v>R019</x:v>
      </x:c>
      <x:c r="B20" s="31" t="str">
        <x:v>S065-19</x:v>
      </x:c>
      <x:c r="C20" s="35" t="n">
        <x:v>0.065</x:v>
      </x:c>
      <x:c r="D20" s="108" t="n">
        <x:v>64584084115.96529</x:v>
      </x:c>
      <x:c r="E20" s="109" t="n">
        <x:v>7.477833677362876</x:v>
      </x:c>
      <x:c r="F20" s="108" t="n">
        <x:v>64712151425040.766</x:v>
      </x:c>
      <x:c r="G20" s="109" t="n">
        <x:v>8.7019390292605</x:v>
      </x:c>
      <x:c r="H20" s="109" t="n">
        <x:v>0.4723917583463206</x:v>
      </x:c>
      <x:c r="I20" s="108" t="n">
        <x:v>8285531803550.193</x:v>
      </x:c>
      <x:c r="J20" s="109" t="n">
        <x:v>7.96983001805876</x:v>
      </x:c>
      <x:c r="K20" s="110" t="n">
        <x:v>0.546</x:v>
      </x:c>
      <x:c r="L20" s="111" t="n">
        <x:v>78.076</x:v>
      </x:c>
      <x:c r="M20" s="112" t="n">
        <x:v>0.001291</x:v>
      </x:c>
      <x:c r="N20" s="112" t="n">
        <x:v>5.35e-11</x:v>
      </x:c>
    </x:row>
    <x:row r="21">
      <x:c r="A21" s="31" t="str">
        <x:v>R020</x:v>
      </x:c>
      <x:c r="B21" s="31" t="str">
        <x:v>S065-20</x:v>
      </x:c>
      <x:c r="C21" s="35" t="n">
        <x:v>0.065</x:v>
      </x:c>
      <x:c r="D21" s="108" t="n">
        <x:v>14061241227.242247</x:v>
      </x:c>
      <x:c r="E21" s="109" t="n">
        <x:v>9.941985032874452</x:v>
      </x:c>
      <x:c r="F21" s="108" t="n">
        <x:v>70895946275744.77</x:v>
      </x:c>
      <x:c r="G21" s="109" t="n">
        <x:v>7.5470405594453585</x:v>
      </x:c>
      <x:c r="H21" s="109" t="n">
        <x:v>0.2936700232505619</x:v>
      </x:c>
      <x:c r="I21" s="108" t="n">
        <x:v>1386632067426.2798</x:v>
      </x:c>
      <x:c r="J21" s="109" t="n">
        <x:v>8.975262842903044</x:v>
      </x:c>
      <x:c r="K21" s="110" t="n">
        <x:v>0.494</x:v>
      </x:c>
      <x:c r="L21" s="111" t="n">
        <x:v>106.132</x:v>
      </x:c>
      <x:c r="M21" s="112" t="n">
        <x:v>0.001556</x:v>
      </x:c>
      <x:c r="N21" s="112" t="n">
        <x:v>1.026e-7</x:v>
      </x:c>
    </x:row>
    <x:row r="22">
      <x:c r="A22" s="31" t="str">
        <x:v>R021</x:v>
      </x:c>
      <x:c r="B22" s="31" t="str">
        <x:v>S065-21</x:v>
      </x:c>
      <x:c r="C22" s="35" t="n">
        <x:v>0.065</x:v>
      </x:c>
      <x:c r="D22" s="108" t="n">
        <x:v>72055883897.61862</x:v>
      </x:c>
      <x:c r="E22" s="109" t="n">
        <x:v>13.8834084057721</x:v>
      </x:c>
      <x:c r="F22" s="108" t="n">
        <x:v>128943981616718.98</x:v>
      </x:c>
      <x:c r="G22" s="109" t="n">
        <x:v>7.530433794776474</x:v>
      </x:c>
      <x:c r="H22" s="109" t="n">
        <x:v>0.11745210754474118</x:v>
      </x:c>
      <x:c r="I22" s="108" t="n">
        <x:v>8044048856367.868</x:v>
      </x:c>
      <x:c r="J22" s="109" t="n">
        <x:v>3.9209349682750005</x:v>
      </x:c>
      <x:c r="K22" s="110" t="n">
        <x:v>0.516</x:v>
      </x:c>
      <x:c r="L22" s="111" t="n">
        <x:v>109.986</x:v>
      </x:c>
      <x:c r="M22" s="112" t="n">
        <x:v>0.00167</x:v>
      </x:c>
      <x:c r="N22" s="112" t="n">
        <x:v>1.441e-7</x:v>
      </x:c>
    </x:row>
    <x:row r="23">
      <x:c r="A23" s="31" t="str">
        <x:v>R022</x:v>
      </x:c>
      <x:c r="B23" s="31" t="str">
        <x:v>S065-22</x:v>
      </x:c>
      <x:c r="C23" s="35" t="n">
        <x:v>0.065</x:v>
      </x:c>
      <x:c r="D23" s="108" t="n">
        <x:v>10550511195.672283</x:v>
      </x:c>
      <x:c r="E23" s="109" t="n">
        <x:v>7.93012247549481</x:v>
      </x:c>
      <x:c r="F23" s="108" t="n">
        <x:v>58299419490974</x:v>
      </x:c>
      <x:c r="G23" s="109" t="n">
        <x:v>7.388123646317356</x:v>
      </x:c>
      <x:c r="H23" s="109" t="n">
        <x:v>0.37870750002494824</x:v>
      </x:c>
      <x:c r="I23" s="108" t="n">
        <x:v>10404716374698.232</x:v>
      </x:c>
      <x:c r="J23" s="109" t="n">
        <x:v>7.374370785793282</x:v>
      </x:c>
      <x:c r="K23" s="110" t="n">
        <x:v>0.601</x:v>
      </x:c>
      <x:c r="L23" s="111" t="n">
        <x:v>73.325</x:v>
      </x:c>
      <x:c r="M23" s="112" t="n">
        <x:v>0.00113</x:v>
      </x:c>
      <x:c r="N23" s="112" t="n">
        <x:v>3.044e-13</x:v>
      </x:c>
    </x:row>
    <x:row r="24">
      <x:c r="A24" s="31" t="str">
        <x:v>R023</x:v>
      </x:c>
      <x:c r="B24" s="31" t="str">
        <x:v>S065-23</x:v>
      </x:c>
      <x:c r="C24" s="35" t="n">
        <x:v>0.065</x:v>
      </x:c>
      <x:c r="D24" s="108" t="n">
        <x:v>86111079759.64792</x:v>
      </x:c>
      <x:c r="E24" s="109" t="n">
        <x:v>13.535367783254554</x:v>
      </x:c>
      <x:c r="F24" s="108" t="n">
        <x:v>101508750005297.92</x:v>
      </x:c>
      <x:c r="G24" s="109" t="n">
        <x:v>7.4038037902874505</x:v>
      </x:c>
      <x:c r="H24" s="109" t="n">
        <x:v>0.37685248364857077</x:v>
      </x:c>
      <x:c r="I24" s="108" t="n">
        <x:v>15112236858698.604</x:v>
      </x:c>
      <x:c r="J24" s="109" t="n">
        <x:v>6.40915028826829</x:v>
      </x:c>
      <x:c r="K24" s="110" t="n">
        <x:v>0.592</x:v>
      </x:c>
      <x:c r="L24" s="111" t="n">
        <x:v>76.021</x:v>
      </x:c>
      <x:c r="M24" s="112" t="n">
        <x:v>0.001499</x:v>
      </x:c>
      <x:c r="N24" s="112" t="n">
        <x:v>4.168e-12</x:v>
      </x:c>
    </x:row>
    <x:row r="25">
      <x:c r="A25" s="31" t="str">
        <x:v>R024</x:v>
      </x:c>
      <x:c r="B25" s="31" t="str">
        <x:v>S065-24</x:v>
      </x:c>
      <x:c r="C25" s="35" t="n">
        <x:v>0.065</x:v>
      </x:c>
      <x:c r="D25" s="108" t="n">
        <x:v>41177427253.793396</x:v>
      </x:c>
      <x:c r="E25" s="109" t="n">
        <x:v>13.15079374550987</x:v>
      </x:c>
      <x:c r="F25" s="108" t="n">
        <x:v>87659082993964.97</x:v>
      </x:c>
      <x:c r="G25" s="109" t="n">
        <x:v>14.414481182686554</x:v>
      </x:c>
      <x:c r="H25" s="109" t="n">
        <x:v>0.10775813737565554</x:v>
      </x:c>
      <x:c r="I25" s="108" t="n">
        <x:v>57558492051123.94</x:v>
      </x:c>
      <x:c r="J25" s="109" t="n">
        <x:v>8.701123648450167</x:v>
      </x:c>
      <x:c r="K25" s="110" t="n">
        <x:v>1.099</x:v>
      </x:c>
      <x:c r="L25" s="111" t="n">
        <x:v>90.948</x:v>
      </x:c>
      <x:c r="M25" s="112" t="n">
        <x:v>0.0002433</x:v>
      </x:c>
      <x:c r="N25" s="112" t="n">
        <x:v>2.658e-15</x:v>
      </x:c>
    </x:row>
    <x:row r="26">
      <x:c r="A26" s="31" t="str">
        <x:v>R025</x:v>
      </x:c>
      <x:c r="B26" s="31" t="str">
        <x:v>S065-25</x:v>
      </x:c>
      <x:c r="C26" s="35" t="n">
        <x:v>0.065</x:v>
      </x:c>
      <x:c r="D26" s="108" t="n">
        <x:v>13312886867.190495</x:v>
      </x:c>
      <x:c r="E26" s="109" t="n">
        <x:v>6.772951236742584</x:v>
      </x:c>
      <x:c r="F26" s="108" t="n">
        <x:v>189736669757650.1</x:v>
      </x:c>
      <x:c r="G26" s="109" t="n">
        <x:v>12.745482749369344</x:v>
      </x:c>
      <x:c r="H26" s="109" t="n">
        <x:v>0.17288602654504737</x:v>
      </x:c>
      <x:c r="I26" s="108" t="n">
        <x:v>82574909562004.27</x:v>
      </x:c>
      <x:c r="J26" s="109" t="n">
        <x:v>8.58568346918723</x:v>
      </x:c>
      <x:c r="K26" s="110" t="n">
        <x:v>0.807</x:v>
      </x:c>
      <x:c r="L26" s="111" t="n">
        <x:v>79.862</x:v>
      </x:c>
      <x:c r="M26" s="112" t="n">
        <x:v>0.0008787</x:v>
      </x:c>
      <x:c r="N26" s="112" t="n">
        <x:v>2.915e-15</x:v>
      </x:c>
    </x:row>
    <x:row r="27">
      <x:c r="A27" s="31" t="str">
        <x:v>R026</x:v>
      </x:c>
      <x:c r="B27" s="31" t="str">
        <x:v>S065-26</x:v>
      </x:c>
      <x:c r="C27" s="35" t="n">
        <x:v>0.065</x:v>
      </x:c>
      <x:c r="D27" s="108" t="n">
        <x:v>23206158339.630913</x:v>
      </x:c>
      <x:c r="E27" s="109" t="n">
        <x:v>6.475593600388364</x:v>
      </x:c>
      <x:c r="F27" s="108" t="n">
        <x:v>147432801693077.75</x:v>
      </x:c>
      <x:c r="G27" s="109" t="n">
        <x:v>7.444931311782422</x:v>
      </x:c>
      <x:c r="H27" s="109" t="n">
        <x:v>0.3704304540602605</x:v>
      </x:c>
      <x:c r="I27" s="108" t="n">
        <x:v>13441182205067.484</x:v>
      </x:c>
      <x:c r="J27" s="109" t="n">
        <x:v>6.137813830362023</x:v>
      </x:c>
      <x:c r="K27" s="110" t="n">
        <x:v>0.554</x:v>
      </x:c>
      <x:c r="L27" s="111" t="n">
        <x:v>86.844</x:v>
      </x:c>
      <x:c r="M27" s="112" t="n">
        <x:v>0.001792</x:v>
      </x:c>
      <x:c r="N27" s="112" t="n">
        <x:v>3.505e-9</x:v>
      </x:c>
    </x:row>
    <x:row r="28">
      <x:c r="A28" s="31" t="str">
        <x:v>R027</x:v>
      </x:c>
      <x:c r="B28" s="31" t="str">
        <x:v>S065-27</x:v>
      </x:c>
      <x:c r="C28" s="35" t="n">
        <x:v>0.065</x:v>
      </x:c>
      <x:c r="D28" s="108" t="n">
        <x:v>14676424052.337532</x:v>
      </x:c>
      <x:c r="E28" s="109" t="n">
        <x:v>12.073410415480652</x:v>
      </x:c>
      <x:c r="F28" s="108" t="n">
        <x:v>42017422140267.92</x:v>
      </x:c>
      <x:c r="G28" s="109" t="n">
        <x:v>7.248129020264164</x:v>
      </x:c>
      <x:c r="H28" s="109" t="n">
        <x:v>0.46396450230621306</x:v>
      </x:c>
      <x:c r="I28" s="108" t="n">
        <x:v>2710403261140.189</x:v>
      </x:c>
      <x:c r="J28" s="109" t="n">
        <x:v>7.018450144076298</x:v>
      </x:c>
      <x:c r="K28" s="110" t="n">
        <x:v>0.512</x:v>
      </x:c>
      <x:c r="L28" s="111" t="n">
        <x:v>81.511</x:v>
      </x:c>
      <x:c r="M28" s="112" t="n">
        <x:v>0.00116</x:v>
      </x:c>
      <x:c r="N28" s="112" t="n">
        <x:v>3.05e-10</x:v>
      </x:c>
    </x:row>
    <x:row r="29">
      <x:c r="A29" s="31" t="str">
        <x:v>R028</x:v>
      </x:c>
      <x:c r="B29" s="31" t="str">
        <x:v>S065-28</x:v>
      </x:c>
      <x:c r="C29" s="35" t="n">
        <x:v>0.065</x:v>
      </x:c>
      <x:c r="D29" s="108" t="n">
        <x:v>75254906447.91118</x:v>
      </x:c>
      <x:c r="E29" s="109" t="n">
        <x:v>7.070126042261408</x:v>
      </x:c>
      <x:c r="F29" s="108" t="n">
        <x:v>169824518055567.03</x:v>
      </x:c>
      <x:c r="G29" s="109" t="n">
        <x:v>8.300114778242207</x:v>
      </x:c>
      <x:c r="H29" s="109" t="n">
        <x:v>0.13073226672003588</x:v>
      </x:c>
      <x:c r="I29" s="108" t="n">
        <x:v>48078102240878.484</x:v>
      </x:c>
      <x:c r="J29" s="109" t="n">
        <x:v>8.14912641358818</x:v>
      </x:c>
      <x:c r="K29" s="110" t="n">
        <x:v>0.745</x:v>
      </x:c>
      <x:c r="L29" s="111" t="n">
        <x:v>77.054</x:v>
      </x:c>
      <x:c r="M29" s="112" t="n">
        <x:v>0.00124</x:v>
      </x:c>
      <x:c r="N29" s="112" t="n">
        <x:v>4.2e-15</x:v>
      </x:c>
    </x:row>
    <x:row r="30">
      <x:c r="A30" s="31" t="str">
        <x:v>R029</x:v>
      </x:c>
      <x:c r="B30" s="31" t="str">
        <x:v>S065-29</x:v>
      </x:c>
      <x:c r="C30" s="35" t="n">
        <x:v>0.065</x:v>
      </x:c>
      <x:c r="D30" s="108" t="n">
        <x:v>60919713014.70119</x:v>
      </x:c>
      <x:c r="E30" s="109" t="n">
        <x:v>10.373735734532643</x:v>
      </x:c>
      <x:c r="F30" s="108" t="n">
        <x:v>18062178558463.72</x:v>
      </x:c>
      <x:c r="G30" s="109" t="n">
        <x:v>9.781781688778988</x:v>
      </x:c>
      <x:c r="H30" s="109" t="n">
        <x:v>0.13092654313094654</x:v>
      </x:c>
      <x:c r="I30" s="108" t="n">
        <x:v>1074046905350.2833</x:v>
      </x:c>
      <x:c r="J30" s="109" t="n">
        <x:v>4.4369643202048135</x:v>
      </x:c>
      <x:c r="K30" s="110" t="n">
        <x:v>0.477</x:v>
      </x:c>
      <x:c r="L30" s="111" t="n">
        <x:v>93.638</x:v>
      </x:c>
      <x:c r="M30" s="112" t="n">
        <x:v>0.000728</x:v>
      </x:c>
      <x:c r="N30" s="112" t="n">
        <x:v>7.28e-9</x:v>
      </x:c>
    </x:row>
    <x:row r="31">
      <x:c r="A31" s="31" t="str">
        <x:v>R030</x:v>
      </x:c>
      <x:c r="B31" s="31" t="str">
        <x:v>S065-30</x:v>
      </x:c>
      <x:c r="C31" s="35" t="n">
        <x:v>0.065</x:v>
      </x:c>
      <x:c r="D31" s="108" t="n">
        <x:v>18088388106.482254</x:v>
      </x:c>
      <x:c r="E31" s="109" t="n">
        <x:v>7.322212959371601</x:v>
      </x:c>
      <x:c r="F31" s="108" t="n">
        <x:v>149413477860922.28</x:v>
      </x:c>
      <x:c r="G31" s="109" t="n">
        <x:v>8.124988623367003</x:v>
      </x:c>
      <x:c r="H31" s="109" t="n">
        <x:v>0.49033247818745657</x:v>
      </x:c>
      <x:c r="I31" s="108" t="n">
        <x:v>21803518001623.273</x:v>
      </x:c>
      <x:c r="J31" s="109" t="n">
        <x:v>6.51392895339818</x:v>
      </x:c>
      <x:c r="K31" s="110" t="n">
        <x:v>0.587</x:v>
      </x:c>
      <x:c r="L31" s="111" t="n">
        <x:v>79.192</x:v>
      </x:c>
      <x:c r="M31" s="112" t="n">
        <x:v>0.00168</x:v>
      </x:c>
      <x:c r="N31" s="112" t="n">
        <x:v>8.572e-11</x:v>
      </x:c>
    </x:row>
    <x:row r="32">
      <x:c r="A32" s="31" t="str">
        <x:v>R031</x:v>
      </x:c>
      <x:c r="B32" s="31" t="str">
        <x:v>S065-31</x:v>
      </x:c>
      <x:c r="C32" s="35" t="n">
        <x:v>0.065</x:v>
      </x:c>
      <x:c r="D32" s="108" t="n">
        <x:v>16055675259.219961</x:v>
      </x:c>
      <x:c r="E32" s="109" t="n">
        <x:v>8.678737166997863</x:v>
      </x:c>
      <x:c r="F32" s="108" t="n">
        <x:v>99028110198177.81</x:v>
      </x:c>
      <x:c r="G32" s="109" t="n">
        <x:v>8.977900273197495</x:v>
      </x:c>
      <x:c r="H32" s="109" t="n">
        <x:v>0.10945460271560066</x:v>
      </x:c>
      <x:c r="I32" s="108" t="n">
        <x:v>7321105800339.01</x:v>
      </x:c>
      <x:c r="J32" s="109" t="n">
        <x:v>8.471594932572819</x:v>
      </x:c>
      <x:c r="K32" s="110" t="n">
        <x:v>0.529</x:v>
      </x:c>
      <x:c r="L32" s="111" t="n">
        <x:v>87.957</x:v>
      </x:c>
      <x:c r="M32" s="112" t="n">
        <x:v>0.001567</x:v>
      </x:c>
      <x:c r="N32" s="112" t="n">
        <x:v>4.917e-9</x:v>
      </x:c>
    </x:row>
    <x:row r="33">
      <x:c r="A33" s="31" t="str">
        <x:v>R032</x:v>
      </x:c>
      <x:c r="B33" s="31" t="str">
        <x:v>S065-32</x:v>
      </x:c>
      <x:c r="C33" s="35" t="n">
        <x:v>0.065</x:v>
      </x:c>
      <x:c r="D33" s="108" t="n">
        <x:v>11586302669.049086</x:v>
      </x:c>
      <x:c r="E33" s="109" t="n">
        <x:v>6.994939697261052</x:v>
      </x:c>
      <x:c r="F33" s="108" t="n">
        <x:v>142383607951955.03</x:v>
      </x:c>
      <x:c r="G33" s="109" t="n">
        <x:v>7.163595259670767</x:v>
      </x:c>
      <x:c r="H33" s="109" t="n">
        <x:v>0.11377688110483493</x:v>
      </x:c>
      <x:c r="I33" s="108" t="n">
        <x:v>16888214267256.754</x:v>
      </x:c>
      <x:c r="J33" s="109" t="n">
        <x:v>8.682465786323394</x:v>
      </x:c>
      <x:c r="K33" s="110" t="n">
        <x:v>0.626</x:v>
      </x:c>
      <x:c r="L33" s="111" t="n">
        <x:v>75.172</x:v>
      </x:c>
      <x:c r="M33" s="112" t="n">
        <x:v>0.001584</x:v>
      </x:c>
      <x:c r="N33" s="112" t="n">
        <x:v>3.816e-13</x:v>
      </x:c>
    </x:row>
    <x:row r="34">
      <x:c r="A34" s="31" t="str">
        <x:v>R033</x:v>
      </x:c>
      <x:c r="B34" s="31" t="str">
        <x:v>S065-33</x:v>
      </x:c>
      <x:c r="C34" s="35" t="n">
        <x:v>0.065</x:v>
      </x:c>
      <x:c r="D34" s="108" t="n">
        <x:v>71800793169.9439</x:v>
      </x:c>
      <x:c r="E34" s="109" t="n">
        <x:v>5.118738030929634</x:v>
      </x:c>
      <x:c r="F34" s="108" t="n">
        <x:v>137023917485174.19</x:v>
      </x:c>
      <x:c r="G34" s="109" t="n">
        <x:v>7.1854835491490014</x:v>
      </x:c>
      <x:c r="H34" s="109" t="n">
        <x:v>0.22034023033654374</x:v>
      </x:c>
      <x:c r="I34" s="108" t="n">
        <x:v>14782264149313.297</x:v>
      </x:c>
      <x:c r="J34" s="109" t="n">
        <x:v>3.0228058029870732</x:v>
      </x:c>
      <x:c r="K34" s="110" t="n">
        <x:v>0.558</x:v>
      </x:c>
      <x:c r="L34" s="111" t="n">
        <x:v>104.27</x:v>
      </x:c>
      <x:c r="M34" s="112" t="n">
        <x:v>0.00153</x:v>
      </x:c>
      <x:c r="N34" s="112" t="n">
        <x:v>4.677e-8</x:v>
      </x:c>
    </x:row>
    <x:row r="35">
      <x:c r="A35" s="31" t="str">
        <x:v>R034</x:v>
      </x:c>
      <x:c r="B35" s="31" t="str">
        <x:v>S065-34</x:v>
      </x:c>
      <x:c r="C35" s="35" t="n">
        <x:v>0.065</x:v>
      </x:c>
      <x:c r="D35" s="108" t="n">
        <x:v>71613830775.52669</x:v>
      </x:c>
      <x:c r="E35" s="109" t="n">
        <x:v>14.259570467656724</x:v>
      </x:c>
      <x:c r="F35" s="108" t="n">
        <x:v>13035055873723.354</x:v>
      </x:c>
      <x:c r="G35" s="109" t="n">
        <x:v>14.86902662426084</x:v>
      </x:c>
      <x:c r="H35" s="109" t="n">
        <x:v>0.4523066061376661</x:v>
      </x:c>
      <x:c r="I35" s="108" t="n">
        <x:v>1113966582664.4114</x:v>
      </x:c>
      <x:c r="J35" s="109" t="n">
        <x:v>8.744487043005517</x:v>
      </x:c>
      <x:c r="K35" s="110" t="n">
        <x:v>0.45</x:v>
      </x:c>
      <x:c r="L35" s="111" t="n">
        <x:v>103.614</x:v>
      </x:c>
      <x:c r="M35" s="112" t="n">
        <x:v>0.0004945</x:v>
      </x:c>
      <x:c r="N35" s="112" t="n">
        <x:v>3.952e-8</x:v>
      </x:c>
    </x:row>
    <x:row r="36">
      <x:c r="A36" s="31" t="str">
        <x:v>R035</x:v>
      </x:c>
      <x:c r="B36" s="31" t="str">
        <x:v>S065-35</x:v>
      </x:c>
      <x:c r="C36" s="35" t="n">
        <x:v>0.065</x:v>
      </x:c>
      <x:c r="D36" s="108" t="n">
        <x:v>46369701283.756294</x:v>
      </x:c>
      <x:c r="E36" s="109" t="n">
        <x:v>10.2980664149127</x:v>
      </x:c>
      <x:c r="F36" s="108" t="n">
        <x:v>19370808655041.793</x:v>
      </x:c>
      <x:c r="G36" s="109" t="n">
        <x:v>14.580290591457965</x:v>
      </x:c>
      <x:c r="H36" s="109" t="n">
        <x:v>0.1374835972764914</x:v>
      </x:c>
      <x:c r="I36" s="108" t="n">
        <x:v>1693719232909.4368</x:v>
      </x:c>
      <x:c r="J36" s="109" t="n">
        <x:v>3.3164653321556705</x:v>
      </x:c>
      <x:c r="K36" s="110" t="n">
        <x:v>0.435</x:v>
      </x:c>
      <x:c r="L36" s="111" t="n">
        <x:v>139.607</x:v>
      </x:c>
      <x:c r="M36" s="112" t="n">
        <x:v>0.0005978</x:v>
      </x:c>
      <x:c r="N36" s="112" t="n">
        <x:v>0.000001198</x:v>
      </x:c>
    </x:row>
    <x:row r="37">
      <x:c r="A37" s="31" t="str">
        <x:v>R036</x:v>
      </x:c>
      <x:c r="B37" s="31" t="str">
        <x:v>S065-36</x:v>
      </x:c>
      <x:c r="C37" s="35" t="n">
        <x:v>0.065</x:v>
      </x:c>
      <x:c r="D37" s="108" t="n">
        <x:v>21968276053.924377</x:v>
      </x:c>
      <x:c r="E37" s="109" t="n">
        <x:v>9.17137888565341</x:v>
      </x:c>
      <x:c r="F37" s="108" t="n">
        <x:v>113874531217727.86</x:v>
      </x:c>
      <x:c r="G37" s="109" t="n">
        <x:v>8.24012363071493</x:v>
      </x:c>
      <x:c r="H37" s="109" t="n">
        <x:v>0.15625565569515232</x:v>
      </x:c>
      <x:c r="I37" s="108" t="n">
        <x:v>38753791509088.336</x:v>
      </x:c>
      <x:c r="J37" s="109" t="n">
        <x:v>8.713664310304702</x:v>
      </x:c>
      <x:c r="K37" s="110" t="n">
        <x:v>0.725</x:v>
      </x:c>
      <x:c r="L37" s="111" t="n">
        <x:v>76.078</x:v>
      </x:c>
      <x:c r="M37" s="112" t="n">
        <x:v>0.001098</x:v>
      </x:c>
      <x:c r="N37" s="112" t="n">
        <x:v>4.511e-15</x:v>
      </x:c>
    </x:row>
    <x:row r="38">
      <x:c r="A38" s="31" t="str">
        <x:v>R037</x:v>
      </x:c>
      <x:c r="B38" s="31" t="str">
        <x:v>S065-37</x:v>
      </x:c>
      <x:c r="C38" s="35" t="n">
        <x:v>0.065</x:v>
      </x:c>
      <x:c r="D38" s="108" t="n">
        <x:v>61711769627.09131</x:v>
      </x:c>
      <x:c r="E38" s="109" t="n">
        <x:v>5.995265431546394</x:v>
      </x:c>
      <x:c r="F38" s="108" t="n">
        <x:v>104040908790772.73</x:v>
      </x:c>
      <x:c r="G38" s="109" t="n">
        <x:v>14.513616287241504</x:v>
      </x:c>
      <x:c r="H38" s="109" t="n">
        <x:v>0.3099289353309937</x:v>
      </x:c>
      <x:c r="I38" s="108" t="n">
        <x:v>55074430645552.56</x:v>
      </x:c>
      <x:c r="J38" s="109" t="n">
        <x:v>8.023608582326993</x:v>
      </x:c>
      <x:c r="K38" s="110" t="n">
        <x:v>0.908</x:v>
      </x:c>
      <x:c r="L38" s="111" t="n">
        <x:v>80.904</x:v>
      </x:c>
      <x:c r="M38" s="112" t="n">
        <x:v>0.0004115</x:v>
      </x:c>
      <x:c r="N38" s="112" t="n">
        <x:v>1.986e-15</x:v>
      </x:c>
    </x:row>
    <x:row r="39">
      <x:c r="A39" s="31" t="str">
        <x:v>R038</x:v>
      </x:c>
      <x:c r="B39" s="31" t="str">
        <x:v>S065-38, S065-39</x:v>
      </x:c>
      <x:c r="C39" s="35" t="n">
        <x:v>0.065</x:v>
      </x:c>
      <x:c r="D39" s="108" t="n">
        <x:v>71040252054.1972</x:v>
      </x:c>
      <x:c r="E39" s="109" t="n">
        <x:v>12.739187252765063</x:v>
      </x:c>
      <x:c r="F39" s="108" t="n">
        <x:v>135308402110670.5</x:v>
      </x:c>
      <x:c r="G39" s="109" t="n">
        <x:v>8.257240325827317</x:v>
      </x:c>
      <x:c r="H39" s="109" t="n">
        <x:v>0.13519829558756777</x:v>
      </x:c>
      <x:c r="I39" s="108" t="n">
        <x:v>7874031710033.47</x:v>
      </x:c>
      <x:c r="J39" s="109" t="n">
        <x:v>5.6468508494527505</x:v>
      </x:c>
      <x:c r="K39" s="110" t="n">
        <x:v>0.509</x:v>
      </x:c>
      <x:c r="L39" s="111" t="n">
        <x:v>111.276</x:v>
      </x:c>
      <x:c r="M39" s="112" t="n">
        <x:v>0.001772</x:v>
      </x:c>
      <x:c r="N39" s="112" t="n">
        <x:v>2.258e-7</x:v>
      </x:c>
    </x:row>
    <x:row r="40">
      <x:c r="A40" s="31" t="str">
        <x:v>R039</x:v>
      </x:c>
      <x:c r="B40" s="31" t="str">
        <x:v>S065-40</x:v>
      </x:c>
      <x:c r="C40" s="35" t="n">
        <x:v>0.065</x:v>
      </x:c>
      <x:c r="D40" s="108" t="n">
        <x:v>50521455377.061195</x:v>
      </x:c>
      <x:c r="E40" s="109" t="n">
        <x:v>12.118112636506206</x:v>
      </x:c>
      <x:c r="F40" s="108" t="n">
        <x:v>136339090664700.39</x:v>
      </x:c>
      <x:c r="G40" s="109" t="n">
        <x:v>10.609206370821331</x:v>
      </x:c>
      <x:c r="H40" s="109" t="n">
        <x:v>0.13305544399277802</x:v>
      </x:c>
      <x:c r="I40" s="108" t="n">
        <x:v>58963115787405.05</x:v>
      </x:c>
      <x:c r="J40" s="109" t="n">
        <x:v>8.334582367323232</x:v>
      </x:c>
      <x:c r="K40" s="110" t="n">
        <x:v>0.777</x:v>
      </x:c>
      <x:c r="L40" s="111" t="n">
        <x:v>79.517</x:v>
      </x:c>
      <x:c r="M40" s="112" t="n">
        <x:v>0.0008354</x:v>
      </x:c>
      <x:c r="N40" s="112" t="n">
        <x:v>2.561e-15</x:v>
      </x:c>
    </x:row>
    <x:row r="41">
      <x:c r="A41" s="31" t="str">
        <x:v>R040</x:v>
      </x:c>
      <x:c r="B41" s="31" t="str">
        <x:v>S065-41</x:v>
      </x:c>
      <x:c r="C41" s="35" t="n">
        <x:v>0.065</x:v>
      </x:c>
      <x:c r="D41" s="108" t="n">
        <x:v>27762852111.68566</x:v>
      </x:c>
      <x:c r="E41" s="109" t="n">
        <x:v>12.093787186144073</x:v>
      </x:c>
      <x:c r="F41" s="108" t="n">
        <x:v>53427028728783.54</x:v>
      </x:c>
      <x:c r="G41" s="109" t="n">
        <x:v>12.270700210094418</x:v>
      </x:c>
      <x:c r="H41" s="109" t="n">
        <x:v>0.2776528708216652</x:v>
      </x:c>
      <x:c r="I41" s="108" t="n">
        <x:v>15074780663251.043</x:v>
      </x:c>
      <x:c r="J41" s="109" t="n">
        <x:v>8.240378638765462</x:v>
      </x:c>
      <x:c r="K41" s="110" t="n">
        <x:v>0.587</x:v>
      </x:c>
      <x:c r="L41" s="111" t="n">
        <x:v>72.479</x:v>
      </x:c>
      <x:c r="M41" s="112" t="n">
        <x:v>0.0008441</x:v>
      </x:c>
      <x:c r="N41" s="112" t="n">
        <x:v>4.286e-13</x:v>
      </x:c>
    </x:row>
    <x:row r="42">
      <x:c r="A42" s="31" t="str">
        <x:v>R041</x:v>
      </x:c>
      <x:c r="B42" s="31" t="str">
        <x:v>S065-42</x:v>
      </x:c>
      <x:c r="C42" s="35" t="n">
        <x:v>0.065</x:v>
      </x:c>
      <x:c r="D42" s="108" t="n">
        <x:v>46741997675.20699</x:v>
      </x:c>
      <x:c r="E42" s="109" t="n">
        <x:v>5.474239792456731</x:v>
      </x:c>
      <x:c r="F42" s="108" t="n">
        <x:v>88958500703204.42</x:v>
      </x:c>
      <x:c r="G42" s="109" t="n">
        <x:v>7.561565995348953</x:v>
      </x:c>
      <x:c r="H42" s="109" t="n">
        <x:v>0.4467304973776746</x:v>
      </x:c>
      <x:c r="I42" s="108" t="n">
        <x:v>12334538004707.96</x:v>
      </x:c>
      <x:c r="J42" s="109" t="n">
        <x:v>7.9162352050556315</x:v>
      </x:c>
      <x:c r="K42" s="110" t="n">
        <x:v>0.588</x:v>
      </x:c>
      <x:c r="L42" s="111" t="n">
        <x:v>75.634</x:v>
      </x:c>
      <x:c r="M42" s="112" t="n">
        <x:v>0.00146</x:v>
      </x:c>
      <x:c r="N42" s="112" t="n">
        <x:v>3.22e-12</x:v>
      </x:c>
    </x:row>
    <x:row r="43">
      <x:c r="A43" s="31" t="str">
        <x:v>R042</x:v>
      </x:c>
      <x:c r="B43" s="31" t="str">
        <x:v>S065-43</x:v>
      </x:c>
      <x:c r="C43" s="35" t="n">
        <x:v>0.065</x:v>
      </x:c>
      <x:c r="D43" s="108" t="n">
        <x:v>25786667410.934093</x:v>
      </x:c>
      <x:c r="E43" s="109" t="n">
        <x:v>5.567157544785721</x:v>
      </x:c>
      <x:c r="F43" s="108" t="n">
        <x:v>142712734029746.38</x:v>
      </x:c>
      <x:c r="G43" s="109" t="n">
        <x:v>8.804025076041844</x:v>
      </x:c>
      <x:c r="H43" s="109" t="n">
        <x:v>0.1304235461414984</x:v>
      </x:c>
      <x:c r="I43" s="108" t="n">
        <x:v>18814316606731.684</x:v>
      </x:c>
      <x:c r="J43" s="109" t="n">
        <x:v>7.578648466957405</x:v>
      </x:c>
      <x:c r="K43" s="110" t="n">
        <x:v>0.6</x:v>
      </x:c>
      <x:c r="L43" s="111" t="n">
        <x:v>75.973</x:v>
      </x:c>
      <x:c r="M43" s="112" t="n">
        <x:v>0.001573</x:v>
      </x:c>
      <x:c r="N43" s="112" t="n">
        <x:v>4.476e-12</x:v>
      </x:c>
    </x:row>
    <x:row r="44">
      <x:c r="A44" s="31" t="str">
        <x:v>R043</x:v>
      </x:c>
      <x:c r="B44" s="31" t="str">
        <x:v>S065-44</x:v>
      </x:c>
      <x:c r="C44" s="35" t="n">
        <x:v>0.065</x:v>
      </x:c>
      <x:c r="D44" s="108" t="n">
        <x:v>74894258113.12163</x:v>
      </x:c>
      <x:c r="E44" s="109" t="n">
        <x:v>10.71955670278668</x:v>
      </x:c>
      <x:c r="F44" s="108" t="n">
        <x:v>579981146943867</x:v>
      </x:c>
      <x:c r="G44" s="109" t="n">
        <x:v>8.64140335499664</x:v>
      </x:c>
      <x:c r="H44" s="109" t="n">
        <x:v>0.17457420040979366</x:v>
      </x:c>
      <x:c r="I44" s="108" t="n">
        <x:v>37057326091642.93</x:v>
      </x:c>
      <x:c r="J44" s="109" t="n">
        <x:v>8.408606013782473</x:v>
      </x:c>
      <x:c r="K44" s="110" t="n">
        <x:v>0.584</x:v>
      </x:c>
      <x:c r="L44" s="111" t="n">
        <x:v>88.484</x:v>
      </x:c>
      <x:c r="M44" s="112" t="n">
        <x:v>0.002251</x:v>
      </x:c>
      <x:c r="N44" s="112" t="n">
        <x:v>3.025e-9</x:v>
      </x:c>
    </x:row>
    <x:row r="45">
      <x:c r="A45" s="31" t="str">
        <x:v>R044</x:v>
      </x:c>
      <x:c r="B45" s="31" t="str">
        <x:v>S065-45</x:v>
      </x:c>
      <x:c r="C45" s="35" t="n">
        <x:v>0.065</x:v>
      </x:c>
      <x:c r="D45" s="108" t="n">
        <x:v>18837085341.45674</x:v>
      </x:c>
      <x:c r="E45" s="109" t="n">
        <x:v>8.310455300756015</x:v>
      </x:c>
      <x:c r="F45" s="108" t="n">
        <x:v>85294472482951</x:v>
      </x:c>
      <x:c r="G45" s="109" t="n">
        <x:v>8.79265124796234</x:v>
      </x:c>
      <x:c r="H45" s="109" t="n">
        <x:v>0.41789767797727656</x:v>
      </x:c>
      <x:c r="I45" s="108" t="n">
        <x:v>8111095063715.911</x:v>
      </x:c>
      <x:c r="J45" s="109" t="n">
        <x:v>8.776903869884142</x:v>
      </x:c>
      <x:c r="K45" s="110" t="n">
        <x:v>0.53</x:v>
      </x:c>
      <x:c r="L45" s="111" t="n">
        <x:v>85.368</x:v>
      </x:c>
      <x:c r="M45" s="112" t="n">
        <x:v>0.001545</x:v>
      </x:c>
      <x:c r="N45" s="112" t="n">
        <x:v>1.996e-9</x:v>
      </x:c>
    </x:row>
    <x:row r="46">
      <x:c r="A46" s="31" t="str">
        <x:v>R045</x:v>
      </x:c>
      <x:c r="B46" s="31" t="str">
        <x:v>S065-46</x:v>
      </x:c>
      <x:c r="C46" s="35" t="n">
        <x:v>0.065</x:v>
      </x:c>
      <x:c r="D46" s="108" t="n">
        <x:v>15075154426.593887</x:v>
      </x:c>
      <x:c r="E46" s="109" t="n">
        <x:v>13.799311060360601</x:v>
      </x:c>
      <x:c r="F46" s="108" t="n">
        <x:v>21808748037562.2</x:v>
      </x:c>
      <x:c r="G46" s="109" t="n">
        <x:v>8.601363094842293</x:v>
      </x:c>
      <x:c r="H46" s="109" t="n">
        <x:v>0.22640561187180952</x:v>
      </x:c>
      <x:c r="I46" s="108" t="n">
        <x:v>1863722672445.9114</x:v>
      </x:c>
      <x:c r="J46" s="109" t="n">
        <x:v>8.281636741015959</x:v>
      </x:c>
      <x:c r="K46" s="110" t="n">
        <x:v>0.506</x:v>
      </x:c>
      <x:c r="L46" s="111" t="n">
        <x:v>79.579</x:v>
      </x:c>
      <x:c r="M46" s="112" t="n">
        <x:v>0.0008143</x:v>
      </x:c>
      <x:c r="N46" s="112" t="n">
        <x:v>1.031e-10</x:v>
      </x:c>
    </x:row>
    <x:row r="47">
      <x:c r="A47" s="31" t="str">
        <x:v>R046</x:v>
      </x:c>
      <x:c r="B47" s="31" t="str">
        <x:v>S065-47</x:v>
      </x:c>
      <x:c r="C47" s="35" t="n">
        <x:v>0.065</x:v>
      </x:c>
      <x:c r="D47" s="108" t="n">
        <x:v>21567366344.931835</x:v>
      </x:c>
      <x:c r="E47" s="109" t="n">
        <x:v>14.899758939228466</x:v>
      </x:c>
      <x:c r="F47" s="108" t="n">
        <x:v>304766807666251.5</x:v>
      </x:c>
      <x:c r="G47" s="109" t="n">
        <x:v>7.931631362550143</x:v>
      </x:c>
      <x:c r="H47" s="109" t="n">
        <x:v>0.34346949423600937</x:v>
      </x:c>
      <x:c r="I47" s="108" t="n">
        <x:v>51373514219628.06</x:v>
      </x:c>
      <x:c r="J47" s="109" t="n">
        <x:v>7.063308533466082</x:v>
      </x:c>
      <x:c r="K47" s="110" t="n">
        <x:v>0.65</x:v>
      </x:c>
      <x:c r="L47" s="111" t="n">
        <x:v>78.261</x:v>
      </x:c>
      <x:c r="M47" s="112" t="n">
        <x:v>0.002023</x:v>
      </x:c>
      <x:c r="N47" s="112" t="n">
        <x:v>3.085e-12</x:v>
      </x:c>
    </x:row>
    <x:row r="48">
      <x:c r="A48" s="31" t="str">
        <x:v>R047</x:v>
      </x:c>
      <x:c r="B48" s="31" t="str">
        <x:v>S065-48</x:v>
      </x:c>
      <x:c r="C48" s="35" t="n">
        <x:v>0.065</x:v>
      </x:c>
      <x:c r="D48" s="108" t="n">
        <x:v>83016727277.16496</x:v>
      </x:c>
      <x:c r="E48" s="109" t="n">
        <x:v>5.652063273042551</x:v>
      </x:c>
      <x:c r="F48" s="108" t="n">
        <x:v>137219543715338.45</x:v>
      </x:c>
      <x:c r="G48" s="109" t="n">
        <x:v>7.709942510178917</x:v>
      </x:c>
      <x:c r="H48" s="109" t="n">
        <x:v>0.44555504613819663</x:v>
      </x:c>
      <x:c r="I48" s="108" t="n">
        <x:v>14886402466766.031</x:v>
      </x:c>
      <x:c r="J48" s="109" t="n">
        <x:v>3.4014644320474745</x:v>
      </x:c>
      <x:c r="K48" s="110" t="n">
        <x:v>0.539</x:v>
      </x:c>
      <x:c r="L48" s="111" t="n">
        <x:v>119.781</x:v>
      </x:c>
      <x:c r="M48" s="112" t="n">
        <x:v>0.001629</x:v>
      </x:c>
      <x:c r="N48" s="112" t="n">
        <x:v>3.045e-7</x:v>
      </x:c>
    </x:row>
    <x:row r="49">
      <x:c r="A49" s="31" t="str">
        <x:v>R048</x:v>
      </x:c>
      <x:c r="B49" s="31" t="str">
        <x:v>S065-49</x:v>
      </x:c>
      <x:c r="C49" s="35" t="n">
        <x:v>0.065</x:v>
      </x:c>
      <x:c r="D49" s="108" t="n">
        <x:v>83454131115.25479</x:v>
      </x:c>
      <x:c r="E49" s="109" t="n">
        <x:v>13.257865175164564</x:v>
      </x:c>
      <x:c r="F49" s="108" t="n">
        <x:v>52516733834854.766</x:v>
      </x:c>
      <x:c r="G49" s="109" t="n">
        <x:v>8.757134222775282</x:v>
      </x:c>
      <x:c r="H49" s="109" t="n">
        <x:v>0.17590962392837683</x:v>
      </x:c>
      <x:c r="I49" s="108" t="n">
        <x:v>19569749566554.395</x:v>
      </x:c>
      <x:c r="J49" s="109" t="n">
        <x:v>4.574254025931237</x:v>
      </x:c>
      <x:c r="K49" s="110" t="n">
        <x:v>0.84</x:v>
      </x:c>
      <x:c r="L49" s="111" t="n">
        <x:v>77.372</x:v>
      </x:c>
      <x:c r="M49" s="112" t="n">
        <x:v>0.0005044</x:v>
      </x:c>
      <x:c r="N49" s="112" t="n">
        <x:v>2.389e-15</x:v>
      </x:c>
    </x:row>
    <x:row r="50">
      <x:c r="A50" s="31" t="str">
        <x:v>R049</x:v>
      </x:c>
      <x:c r="B50" s="31" t="str">
        <x:v>S065-50</x:v>
      </x:c>
      <x:c r="C50" s="35" t="n">
        <x:v>0.065</x:v>
      </x:c>
      <x:c r="D50" s="108" t="n">
        <x:v>14319279437.532843</x:v>
      </x:c>
      <x:c r="E50" s="109" t="n">
        <x:v>14.485047200746381</x:v>
      </x:c>
      <x:c r="F50" s="108" t="n">
        <x:v>23114993661886.93</x:v>
      </x:c>
      <x:c r="G50" s="109" t="n">
        <x:v>7.5468600826147005</x:v>
      </x:c>
      <x:c r="H50" s="109" t="n">
        <x:v>0.23380978020526008</x:v>
      </x:c>
      <x:c r="I50" s="108" t="n">
        <x:v>1052087028312.2545</x:v>
      </x:c>
      <x:c r="J50" s="109" t="n">
        <x:v>8.546484450603968</x:v>
      </x:c>
      <x:c r="K50" s="110" t="n">
        <x:v>0.504</x:v>
      </x:c>
      <x:c r="L50" s="111" t="n">
        <x:v>80.865</x:v>
      </x:c>
      <x:c r="M50" s="112" t="n">
        <x:v>0.0008989</x:v>
      </x:c>
      <x:c r="N50" s="112" t="n">
        <x:v>1.649e-10</x:v>
      </x:c>
    </x:row>
    <x:row r="51">
      <x:c r="A51" s="31" t="str">
        <x:v>R050</x:v>
      </x:c>
      <x:c r="B51" s="31" t="str">
        <x:v>S090-01</x:v>
      </x:c>
      <x:c r="C51" s="35" t="n">
        <x:v>0.09</x:v>
      </x:c>
      <x:c r="D51" s="108" t="n">
        <x:v>55419601279.35985</x:v>
      </x:c>
      <x:c r="E51" s="109" t="n">
        <x:v>13.275092531436195</x:v>
      </x:c>
      <x:c r="F51" s="108" t="n">
        <x:v>78217853153859.7</x:v>
      </x:c>
      <x:c r="G51" s="109" t="n">
        <x:v>10.584139463886826</x:v>
      </x:c>
      <x:c r="H51" s="109" t="n">
        <x:v>0.12349573666972075</x:v>
      </x:c>
      <x:c r="I51" s="108" t="n">
        <x:v>1103706598255.0989</x:v>
      </x:c>
      <x:c r="J51" s="109" t="n">
        <x:v>7.1826120518378636</x:v>
      </x:c>
      <x:c r="K51" s="110" t="n">
        <x:v>0.516</x:v>
      </x:c>
      <x:c r="L51" s="111" t="n">
        <x:v>82.989</x:v>
      </x:c>
      <x:c r="M51" s="112" t="n">
        <x:v>0.001067</x:v>
      </x:c>
      <x:c r="N51" s="112" t="n">
        <x:v>7.8e-10</x:v>
      </x:c>
    </x:row>
    <x:row r="52">
      <x:c r="A52" s="31" t="str">
        <x:v>R051</x:v>
      </x:c>
      <x:c r="B52" s="31" t="str">
        <x:v>S090-02</x:v>
      </x:c>
      <x:c r="C52" s="35" t="n">
        <x:v>0.09</x:v>
      </x:c>
      <x:c r="D52" s="108" t="n">
        <x:v>44454332335.62349</x:v>
      </x:c>
      <x:c r="E52" s="109" t="n">
        <x:v>13.770289348943304</x:v>
      </x:c>
      <x:c r="F52" s="108" t="n">
        <x:v>67011366612888.055</x:v>
      </x:c>
      <x:c r="G52" s="109" t="n">
        <x:v>9.696202405338173</x:v>
      </x:c>
      <x:c r="H52" s="109" t="n">
        <x:v>0.4196949470937441</x:v>
      </x:c>
      <x:c r="I52" s="108" t="n">
        <x:v>16142340426668.885</x:v>
      </x:c>
      <x:c r="J52" s="109" t="n">
        <x:v>3.0852174976330735</x:v>
      </x:c>
      <x:c r="K52" s="110" t="n">
        <x:v>1.551</x:v>
      </x:c>
      <x:c r="L52" s="111" t="n">
        <x:v>99.262</x:v>
      </x:c>
      <x:c r="M52" s="112" t="n">
        <x:v>0.0002529</x:v>
      </x:c>
      <x:c r="N52" s="112" t="n">
        <x:v>8.263e-16</x:v>
      </x:c>
    </x:row>
    <x:row r="53">
      <x:c r="A53" s="31" t="str">
        <x:v>R052</x:v>
      </x:c>
      <x:c r="B53" s="31" t="str">
        <x:v>S090-03</x:v>
      </x:c>
      <x:c r="C53" s="35" t="n">
        <x:v>0.09</x:v>
      </x:c>
      <x:c r="D53" s="108" t="n">
        <x:v>10415130355.87601</x:v>
      </x:c>
      <x:c r="E53" s="109" t="n">
        <x:v>14.252681805856026</x:v>
      </x:c>
      <x:c r="F53" s="108" t="n">
        <x:v>841334746230407.2</x:v>
      </x:c>
      <x:c r="G53" s="109" t="n">
        <x:v>8.878479770946774</x:v>
      </x:c>
      <x:c r="H53" s="109" t="n">
        <x:v>0.15865211628867126</x:v>
      </x:c>
      <x:c r="I53" s="108" t="n">
        <x:v>38857402759045.78</x:v>
      </x:c>
      <x:c r="J53" s="109" t="n">
        <x:v>7.180975440256605</x:v>
      </x:c>
      <x:c r="K53" s="110" t="n">
        <x:v>0.663</x:v>
      </x:c>
      <x:c r="L53" s="111" t="n">
        <x:v>76.542</x:v>
      </x:c>
      <x:c r="M53" s="112" t="n">
        <x:v>0.001569</x:v>
      </x:c>
      <x:c r="N53" s="112" t="n">
        <x:v>5.306e-13</x:v>
      </x:c>
    </x:row>
    <x:row r="54">
      <x:c r="A54" s="31" t="str">
        <x:v>R053</x:v>
      </x:c>
      <x:c r="B54" s="31" t="str">
        <x:v>S090-04</x:v>
      </x:c>
      <x:c r="C54" s="35" t="n">
        <x:v>0.09</x:v>
      </x:c>
      <x:c r="D54" s="108" t="n">
        <x:v>58207455262.2435</x:v>
      </x:c>
      <x:c r="E54" s="109" t="n">
        <x:v>8.828035638682472</x:v>
      </x:c>
      <x:c r="F54" s="108" t="n">
        <x:v>40263831827270.95</x:v>
      </x:c>
      <x:c r="G54" s="109" t="n">
        <x:v>14.199676432030074</x:v>
      </x:c>
      <x:c r="H54" s="109" t="n">
        <x:v>0.3634720282531614</x:v>
      </x:c>
      <x:c r="I54" s="108" t="n">
        <x:v>7922097636775.955</x:v>
      </x:c>
      <x:c r="J54" s="109" t="n">
        <x:v>4.431525857813192</x:v>
      </x:c>
      <x:c r="K54" s="110" t="n">
        <x:v>0.686</x:v>
      </x:c>
      <x:c r="L54" s="111" t="n">
        <x:v>77.39</x:v>
      </x:c>
      <x:c r="M54" s="112" t="n">
        <x:v>0.0003881</x:v>
      </x:c>
      <x:c r="N54" s="112" t="n">
        <x:v>1.302e-12</x:v>
      </x:c>
    </x:row>
    <x:row r="55">
      <x:c r="A55" s="31" t="str">
        <x:v>R054</x:v>
      </x:c>
      <x:c r="B55" s="31" t="str">
        <x:v>S090-05</x:v>
      </x:c>
      <x:c r="C55" s="35" t="n">
        <x:v>0.09</x:v>
      </x:c>
      <x:c r="D55" s="108" t="n">
        <x:v>16784676718.50203</x:v>
      </x:c>
      <x:c r="E55" s="109" t="n">
        <x:v>13.812440122108628</x:v>
      </x:c>
      <x:c r="F55" s="108" t="n">
        <x:v>323615640194291.1</x:v>
      </x:c>
      <x:c r="G55" s="109" t="n">
        <x:v>14.275042109422376</x:v>
      </x:c>
      <x:c r="H55" s="109" t="n">
        <x:v>0.38370626060093893</x:v>
      </x:c>
      <x:c r="I55" s="108" t="n">
        <x:v>33348208708480.73</x:v>
      </x:c>
      <x:c r="J55" s="109" t="n">
        <x:v>7.280353574614856</x:v>
      </x:c>
      <x:c r="K55" s="110" t="n">
        <x:v>0.616</x:v>
      </x:c>
      <x:c r="L55" s="111" t="n">
        <x:v>81.237</x:v>
      </x:c>
      <x:c r="M55" s="112" t="n">
        <x:v>0.001357</x:v>
      </x:c>
      <x:c r="N55" s="112" t="n">
        <x:v>1.783e-9</x:v>
      </x:c>
    </x:row>
    <x:row r="56">
      <x:c r="A56" s="31" t="str">
        <x:v>R055</x:v>
      </x:c>
      <x:c r="B56" s="31" t="str">
        <x:v>S090-06</x:v>
      </x:c>
      <x:c r="C56" s="35" t="n">
        <x:v>0.09</x:v>
      </x:c>
      <x:c r="D56" s="108" t="n">
        <x:v>16203319813.226936</x:v>
      </x:c>
      <x:c r="E56" s="109" t="n">
        <x:v>7.313713648950408</x:v>
      </x:c>
      <x:c r="F56" s="108" t="n">
        <x:v>565442912409973.2</x:v>
      </x:c>
      <x:c r="G56" s="109" t="n">
        <x:v>14.223229553424737</x:v>
      </x:c>
      <x:c r="H56" s="109" t="n">
        <x:v>0.10697513788569415</x:v>
      </x:c>
      <x:c r="I56" s="108" t="n">
        <x:v>57875624757980</x:v>
      </x:c>
      <x:c r="J56" s="109" t="n">
        <x:v>8.980931795071925</x:v>
      </x:c>
      <x:c r="K56" s="110" t="n">
        <x:v>0.753</x:v>
      </x:c>
      <x:c r="L56" s="111" t="n">
        <x:v>77.503</x:v>
      </x:c>
      <x:c r="M56" s="112" t="n">
        <x:v>0.001211</x:v>
      </x:c>
      <x:c r="N56" s="112" t="n">
        <x:v>4.833e-15</x:v>
      </x:c>
    </x:row>
    <x:row r="57">
      <x:c r="A57" s="31" t="str">
        <x:v>R056</x:v>
      </x:c>
      <x:c r="B57" s="31" t="str">
        <x:v>S090-07</x:v>
      </x:c>
      <x:c r="C57" s="35" t="n">
        <x:v>0.09</x:v>
      </x:c>
      <x:c r="D57" s="108" t="n">
        <x:v>56947118333.32315</x:v>
      </x:c>
      <x:c r="E57" s="109" t="n">
        <x:v>13.035557112588862</x:v>
      </x:c>
      <x:c r="F57" s="108" t="n">
        <x:v>621130059897384.4</x:v>
      </x:c>
      <x:c r="G57" s="109" t="n">
        <x:v>10.362440863471228</x:v>
      </x:c>
      <x:c r="H57" s="109" t="n">
        <x:v>0.3125647715896924</x:v>
      </x:c>
      <x:c r="I57" s="108" t="n">
        <x:v>50501715830462.44</x:v>
      </x:c>
      <x:c r="J57" s="109" t="n">
        <x:v>7.913496194235235</x:v>
      </x:c>
      <x:c r="K57" s="110" t="n">
        <x:v>0.658</x:v>
      </x:c>
      <x:c r="L57" s="111" t="n">
        <x:v>77.482</x:v>
      </x:c>
      <x:c r="M57" s="112" t="n">
        <x:v>0.001578</x:v>
      </x:c>
      <x:c r="N57" s="112" t="n">
        <x:v>1.67e-12</x:v>
      </x:c>
    </x:row>
    <x:row r="58">
      <x:c r="A58" s="31" t="str">
        <x:v>R057</x:v>
      </x:c>
      <x:c r="B58" s="31" t="str">
        <x:v>S090-08</x:v>
      </x:c>
      <x:c r="C58" s="35" t="n">
        <x:v>0.09</x:v>
      </x:c>
      <x:c r="D58" s="108" t="n">
        <x:v>62878035737.48799</x:v>
      </x:c>
      <x:c r="E58" s="109" t="n">
        <x:v>7.780048065223452</x:v>
      </x:c>
      <x:c r="F58" s="108" t="n">
        <x:v>976337005398957.4</x:v>
      </x:c>
      <x:c r="G58" s="109" t="n">
        <x:v>7.304044205474656</x:v>
      </x:c>
      <x:c r="H58" s="109" t="n">
        <x:v>0.38356509992171145</x:v>
      </x:c>
      <x:c r="I58" s="108" t="n">
        <x:v>17624542010516.203</x:v>
      </x:c>
      <x:c r="J58" s="109" t="n">
        <x:v>8.660043942538376</x:v>
      </x:c>
      <x:c r="K58" s="110" t="n">
        <x:v>0.509</x:v>
      </x:c>
      <x:c r="L58" s="111" t="n">
        <x:v>172.351</x:v>
      </x:c>
      <x:c r="M58" s="112" t="n">
        <x:v>0.00196</x:v>
      </x:c>
      <x:c r="N58" s="112" t="n">
        <x:v>0.00001351</x:v>
      </x:c>
    </x:row>
    <x:row r="59">
      <x:c r="A59" s="31" t="str">
        <x:v>R058</x:v>
      </x:c>
      <x:c r="B59" s="31" t="str">
        <x:v>S090-09</x:v>
      </x:c>
      <x:c r="C59" s="35" t="n">
        <x:v>0.09</x:v>
      </x:c>
      <x:c r="D59" s="108" t="n">
        <x:v>73922346312.2127</x:v>
      </x:c>
      <x:c r="E59" s="109" t="n">
        <x:v>5.28029407222062</x:v>
      </x:c>
      <x:c r="F59" s="108" t="n">
        <x:v>134962447693049.4</x:v>
      </x:c>
      <x:c r="G59" s="109" t="n">
        <x:v>14.219916914591343</x:v>
      </x:c>
      <x:c r="H59" s="109" t="n">
        <x:v>0.14413473613660172</x:v>
      </x:c>
      <x:c r="I59" s="108" t="n">
        <x:v>9758743379878.998</x:v>
      </x:c>
      <x:c r="J59" s="109" t="n">
        <x:v>3.045240100750001</x:v>
      </x:c>
      <x:c r="K59" s="110" t="n">
        <x:v>0.552</x:v>
      </x:c>
      <x:c r="L59" s="111" t="n">
        <x:v>109.12</x:v>
      </x:c>
      <x:c r="M59" s="112" t="n">
        <x:v>0.0008723</x:v>
      </x:c>
      <x:c r="N59" s="112" t="n">
        <x:v>1.129e-7</x:v>
      </x:c>
    </x:row>
    <x:row r="60">
      <x:c r="A60" s="31" t="str">
        <x:v>R059</x:v>
      </x:c>
      <x:c r="B60" s="31" t="str">
        <x:v>S090-10</x:v>
      </x:c>
      <x:c r="C60" s="35" t="n">
        <x:v>0.09</x:v>
      </x:c>
      <x:c r="D60" s="108" t="n">
        <x:v>37358673086.774956</x:v>
      </x:c>
      <x:c r="E60" s="109" t="n">
        <x:v>13.919865201210094</x:v>
      </x:c>
      <x:c r="F60" s="108" t="n">
        <x:v>101110090371214.61</x:v>
      </x:c>
      <x:c r="G60" s="109" t="n">
        <x:v>12.42313479081231</x:v>
      </x:c>
      <x:c r="H60" s="109" t="n">
        <x:v>0.41350964275432295</x:v>
      </x:c>
      <x:c r="I60" s="108" t="n">
        <x:v>31711894903643.445</x:v>
      </x:c>
      <x:c r="J60" s="109" t="n">
        <x:v>8.310273060054044</x:v>
      </x:c>
      <x:c r="K60" s="110" t="n">
        <x:v>0.92</x:v>
      </x:c>
      <x:c r="L60" s="111" t="n">
        <x:v>82.191</x:v>
      </x:c>
      <x:c r="M60" s="112" t="n">
        <x:v>0.0004858</x:v>
      </x:c>
      <x:c r="N60" s="112" t="n">
        <x:v>1.22e-15</x:v>
      </x:c>
    </x:row>
    <x:row r="61">
      <x:c r="A61" s="31" t="str">
        <x:v>R060</x:v>
      </x:c>
      <x:c r="B61" s="31" t="str">
        <x:v>S090-11</x:v>
      </x:c>
      <x:c r="C61" s="35" t="n">
        <x:v>0.09</x:v>
      </x:c>
      <x:c r="D61" s="108" t="n">
        <x:v>97212557886.94789</x:v>
      </x:c>
      <x:c r="E61" s="109" t="n">
        <x:v>5.5771062410663985</x:v>
      </x:c>
      <x:c r="F61" s="108" t="n">
        <x:v>756826026002517.6</x:v>
      </x:c>
      <x:c r="G61" s="109" t="n">
        <x:v>14.684905794989843</x:v>
      </x:c>
      <x:c r="H61" s="109" t="n">
        <x:v>0.10095956444934312</x:v>
      </x:c>
      <x:c r="I61" s="108" t="n">
        <x:v>82319398116538.48</x:v>
      </x:c>
      <x:c r="J61" s="109" t="n">
        <x:v>4.891460638447692</x:v>
      </x:c>
      <x:c r="K61" s="110" t="n">
        <x:v>1.056</x:v>
      </x:c>
      <x:c r="L61" s="111" t="n">
        <x:v>85.29</x:v>
      </x:c>
      <x:c r="M61" s="112" t="n">
        <x:v>0.0006982</x:v>
      </x:c>
      <x:c r="N61" s="112" t="n">
        <x:v>3.605e-14</x:v>
      </x:c>
    </x:row>
    <x:row r="62">
      <x:c r="A62" s="31" t="str">
        <x:v>R061</x:v>
      </x:c>
      <x:c r="B62" s="31" t="str">
        <x:v>S090-12</x:v>
      </x:c>
      <x:c r="C62" s="35" t="n">
        <x:v>0.09</x:v>
      </x:c>
      <x:c r="D62" s="108" t="n">
        <x:v>83575376156.90776</x:v>
      </x:c>
      <x:c r="E62" s="109" t="n">
        <x:v>5.579661694205216</x:v>
      </x:c>
      <x:c r="F62" s="108" t="n">
        <x:v>267057523841572.78</x:v>
      </x:c>
      <x:c r="G62" s="109" t="n">
        <x:v>14.023158819178638</x:v>
      </x:c>
      <x:c r="H62" s="109" t="n">
        <x:v>0.11518355337341278</x:v>
      </x:c>
      <x:c r="I62" s="108" t="n">
        <x:v>6534148749954.803</x:v>
      </x:c>
      <x:c r="J62" s="109" t="n">
        <x:v>5.6665561469599375</x:v>
      </x:c>
      <x:c r="K62" s="110" t="n">
        <x:v>0.501</x:v>
      </x:c>
      <x:c r="L62" s="111" t="n">
        <x:v>126.031</x:v>
      </x:c>
      <x:c r="M62" s="112" t="n">
        <x:v>0.001484</x:v>
      </x:c>
      <x:c r="N62" s="112" t="n">
        <x:v>9.987e-7</x:v>
      </x:c>
    </x:row>
    <x:row r="63">
      <x:c r="A63" s="31" t="str">
        <x:v>R062</x:v>
      </x:c>
      <x:c r="B63" s="31" t="str">
        <x:v>S090-13</x:v>
      </x:c>
      <x:c r="C63" s="35" t="n">
        <x:v>0.09</x:v>
      </x:c>
      <x:c r="D63" s="108" t="n">
        <x:v>15974348676.778267</x:v>
      </x:c>
      <x:c r="E63" s="109" t="n">
        <x:v>5.894845922756929</x:v>
      </x:c>
      <x:c r="F63" s="108" t="n">
        <x:v>82977791439643.16</x:v>
      </x:c>
      <x:c r="G63" s="109" t="n">
        <x:v>9.822714442728158</x:v>
      </x:c>
      <x:c r="H63" s="109" t="n">
        <x:v>0.1083595846639049</x:v>
      </x:c>
      <x:c r="I63" s="108" t="n">
        <x:v>14838384346483.262</x:v>
      </x:c>
      <x:c r="J63" s="109" t="n">
        <x:v>5.260647825376287</x:v>
      </x:c>
      <x:c r="K63" s="110" t="n">
        <x:v>0.805</x:v>
      </x:c>
      <x:c r="L63" s="111" t="n">
        <x:v>76.453</x:v>
      </x:c>
      <x:c r="M63" s="112" t="n">
        <x:v>0.000566</x:v>
      </x:c>
      <x:c r="N63" s="112" t="n">
        <x:v>4.36e-15</x:v>
      </x:c>
    </x:row>
    <x:row r="64">
      <x:c r="A64" s="31" t="str">
        <x:v>R063</x:v>
      </x:c>
      <x:c r="B64" s="31" t="str">
        <x:v>S090-14</x:v>
      </x:c>
      <x:c r="C64" s="35" t="n">
        <x:v>0.09</x:v>
      </x:c>
      <x:c r="D64" s="108" t="n">
        <x:v>74616535415.64423</x:v>
      </x:c>
      <x:c r="E64" s="109" t="n">
        <x:v>5.868239335305216</x:v>
      </x:c>
      <x:c r="F64" s="108" t="n">
        <x:v>707613284461801</x:v>
      </x:c>
      <x:c r="G64" s="109" t="n">
        <x:v>10.55325253840719</x:v>
      </x:c>
      <x:c r="H64" s="109" t="n">
        <x:v>0.30116443429801304</x:v>
      </x:c>
      <x:c r="I64" s="108" t="n">
        <x:v>35669078288180.78</x:v>
      </x:c>
      <x:c r="J64" s="109" t="n">
        <x:v>8.31642391492154</x:v>
      </x:c>
      <x:c r="K64" s="110" t="n">
        <x:v>0.579</x:v>
      </x:c>
      <x:c r="L64" s="111" t="n">
        <x:v>87.974</x:v>
      </x:c>
      <x:c r="M64" s="112" t="n">
        <x:v>0.001713</x:v>
      </x:c>
      <x:c r="N64" s="112" t="n">
        <x:v>3.855e-9</x:v>
      </x:c>
    </x:row>
    <x:row r="65">
      <x:c r="A65" s="31" t="str">
        <x:v>R064</x:v>
      </x:c>
      <x:c r="B65" s="31" t="str">
        <x:v>S090-15</x:v>
      </x:c>
      <x:c r="C65" s="35" t="n">
        <x:v>0.09</x:v>
      </x:c>
      <x:c r="D65" s="108" t="n">
        <x:v>39107249315.80094</x:v>
      </x:c>
      <x:c r="E65" s="109" t="n">
        <x:v>9.647135668087705</x:v>
      </x:c>
      <x:c r="F65" s="108" t="n">
        <x:v>174981424814147.4</x:v>
      </x:c>
      <x:c r="G65" s="109" t="n">
        <x:v>14.493690771688737</x:v>
      </x:c>
      <x:c r="H65" s="109" t="n">
        <x:v>0.22002616990876858</x:v>
      </x:c>
      <x:c r="I65" s="108" t="n">
        <x:v>51859178835657.766</x:v>
      </x:c>
      <x:c r="J65" s="109" t="n">
        <x:v>8.62188693388071</x:v>
      </x:c>
      <x:c r="K65" s="110" t="n">
        <x:v>0.992</x:v>
      </x:c>
      <x:c r="L65" s="111" t="n">
        <x:v>85.303</x:v>
      </x:c>
      <x:c r="M65" s="112" t="n">
        <x:v>0.0004849</x:v>
      </x:c>
      <x:c r="N65" s="112" t="n">
        <x:v>1.196e-15</x:v>
      </x:c>
    </x:row>
    <x:row r="66">
      <x:c r="A66" s="31" t="str">
        <x:v>R065</x:v>
      </x:c>
      <x:c r="B66" s="31" t="str">
        <x:v>S090-16</x:v>
      </x:c>
      <x:c r="C66" s="35" t="n">
        <x:v>0.09</x:v>
      </x:c>
      <x:c r="D66" s="108" t="n">
        <x:v>25454184680.752827</x:v>
      </x:c>
      <x:c r="E66" s="109" t="n">
        <x:v>5.369721841527124</x:v>
      </x:c>
      <x:c r="F66" s="108" t="n">
        <x:v>139258350400421.9</x:v>
      </x:c>
      <x:c r="G66" s="109" t="n">
        <x:v>13.990068020842369</x:v>
      </x:c>
      <x:c r="H66" s="109" t="n">
        <x:v>0.21680192156247832</x:v>
      </x:c>
      <x:c r="I66" s="108" t="n">
        <x:v>8213640009538.476</x:v>
      </x:c>
      <x:c r="J66" s="109" t="n">
        <x:v>8.195335649347438</x:v>
      </x:c>
      <x:c r="K66" s="110" t="n">
        <x:v>0.528</x:v>
      </x:c>
      <x:c r="L66" s="111" t="n">
        <x:v>88.926</x:v>
      </x:c>
      <x:c r="M66" s="112" t="n">
        <x:v>0.00121</x:v>
      </x:c>
      <x:c r="N66" s="112" t="n">
        <x:v>1.461e-8</x:v>
      </x:c>
    </x:row>
    <x:row r="67">
      <x:c r="A67" s="31" t="str">
        <x:v>R066</x:v>
      </x:c>
      <x:c r="B67" s="31" t="str">
        <x:v>S090-17</x:v>
      </x:c>
      <x:c r="C67" s="35" t="n">
        <x:v>0.09</x:v>
      </x:c>
      <x:c r="D67" s="108" t="n">
        <x:v>58890767487.097</x:v>
      </x:c>
      <x:c r="E67" s="109" t="n">
        <x:v>9.067049484583688</x:v>
      </x:c>
      <x:c r="F67" s="108" t="n">
        <x:v>140326516408359.92</x:v>
      </x:c>
      <x:c r="G67" s="109" t="n">
        <x:v>7.148143755667963</x:v>
      </x:c>
      <x:c r="H67" s="109" t="n">
        <x:v>0.1444750544181894</x:v>
      </x:c>
      <x:c r="I67" s="108" t="n">
        <x:v>11853115693414.34</x:v>
      </x:c>
      <x:c r="J67" s="109" t="n">
        <x:v>3.189567044836207</x:v>
      </x:c>
      <x:c r="K67" s="110" t="n">
        <x:v>0.801</x:v>
      </x:c>
      <x:c r="L67" s="111" t="n">
        <x:v>80.53</x:v>
      </x:c>
      <x:c r="M67" s="112" t="n">
        <x:v>0.0006875</x:v>
      </x:c>
      <x:c r="N67" s="112" t="n">
        <x:v>6.328e-14</x:v>
      </x:c>
    </x:row>
    <x:row r="68">
      <x:c r="A68" s="31" t="str">
        <x:v>R067</x:v>
      </x:c>
      <x:c r="B68" s="31" t="str">
        <x:v>S090-18</x:v>
      </x:c>
      <x:c r="C68" s="35" t="n">
        <x:v>0.09</x:v>
      </x:c>
      <x:c r="D68" s="108" t="n">
        <x:v>49413958091.87255</x:v>
      </x:c>
      <x:c r="E68" s="109" t="n">
        <x:v>7.771485418273847</x:v>
      </x:c>
      <x:c r="F68" s="108" t="n">
        <x:v>55354690674539.125</x:v>
      </x:c>
      <x:c r="G68" s="109" t="n">
        <x:v>13.808703860225014</x:v>
      </x:c>
      <x:c r="H68" s="109" t="n">
        <x:v>0.4398987606192717</x:v>
      </x:c>
      <x:c r="I68" s="108" t="n">
        <x:v>8656891163674.584</x:v>
      </x:c>
      <x:c r="J68" s="109" t="n">
        <x:v>7.769390725408495</x:v>
      </x:c>
      <x:c r="K68" s="110" t="n">
        <x:v>0.579</x:v>
      </x:c>
      <x:c r="L68" s="111" t="n">
        <x:v>72.702</x:v>
      </x:c>
      <x:c r="M68" s="112" t="n">
        <x:v>0.0006863</x:v>
      </x:c>
      <x:c r="N68" s="112" t="n">
        <x:v>5.252e-13</x:v>
      </x:c>
    </x:row>
    <x:row r="69">
      <x:c r="A69" s="31" t="str">
        <x:v>R068</x:v>
      </x:c>
      <x:c r="B69" s="31" t="str">
        <x:v>S090-19</x:v>
      </x:c>
      <x:c r="C69" s="35" t="n">
        <x:v>0.09</x:v>
      </x:c>
      <x:c r="D69" s="108" t="n">
        <x:v>31588030114.077606</x:v>
      </x:c>
      <x:c r="E69" s="109" t="n">
        <x:v>13.755468189521148</x:v>
      </x:c>
      <x:c r="F69" s="108" t="n">
        <x:v>544454368554649.1</x:v>
      </x:c>
      <x:c r="G69" s="109" t="n">
        <x:v>12.865134008062192</x:v>
      </x:c>
      <x:c r="H69" s="109" t="n">
        <x:v>0.3005805541920381</x:v>
      </x:c>
      <x:c r="I69" s="108" t="n">
        <x:v>14506029220478.277</x:v>
      </x:c>
      <x:c r="J69" s="109" t="n">
        <x:v>8.316944810422815</x:v>
      </x:c>
      <x:c r="K69" s="110" t="n">
        <x:v>0.518</x:v>
      </x:c>
      <x:c r="L69" s="111" t="n">
        <x:v>150.243</x:v>
      </x:c>
      <x:c r="M69" s="112" t="n">
        <x:v>0.001793</x:v>
      </x:c>
      <x:c r="N69" s="112" t="n">
        <x:v>0.000004727</x:v>
      </x:c>
    </x:row>
    <x:row r="70">
      <x:c r="A70" s="31" t="str">
        <x:v>R069</x:v>
      </x:c>
      <x:c r="B70" s="31" t="str">
        <x:v>S090-20</x:v>
      </x:c>
      <x:c r="C70" s="35" t="n">
        <x:v>0.09</x:v>
      </x:c>
      <x:c r="D70" s="108" t="n">
        <x:v>71861602110.00027</x:v>
      </x:c>
      <x:c r="E70" s="109" t="n">
        <x:v>10.164468884884023</x:v>
      </x:c>
      <x:c r="F70" s="108" t="n">
        <x:v>982985146120771.9</x:v>
      </x:c>
      <x:c r="G70" s="109" t="n">
        <x:v>9.197177603606784</x:v>
      </x:c>
      <x:c r="H70" s="109" t="n">
        <x:v>0.19107219473865822</x:v>
      </x:c>
      <x:c r="I70" s="108" t="n">
        <x:v>16162216480671.574</x:v>
      </x:c>
      <x:c r="J70" s="109" t="n">
        <x:v>6.618561840651179</x:v>
      </x:c>
      <x:c r="K70" s="110" t="n">
        <x:v>0.544</x:v>
      </x:c>
      <x:c r="L70" s="111" t="n">
        <x:v>104.67</x:v>
      </x:c>
      <x:c r="M70" s="112" t="n">
        <x:v>0.001784</x:v>
      </x:c>
      <x:c r="N70" s="112" t="n">
        <x:v>1.218e-7</x:v>
      </x:c>
    </x:row>
    <x:row r="71">
      <x:c r="A71" s="31" t="str">
        <x:v>R070</x:v>
      </x:c>
      <x:c r="B71" s="31" t="str">
        <x:v>S090-21</x:v>
      </x:c>
      <x:c r="C71" s="35" t="n">
        <x:v>0.09</x:v>
      </x:c>
      <x:c r="D71" s="108" t="n">
        <x:v>96893849019.713</x:v>
      </x:c>
      <x:c r="E71" s="109" t="n">
        <x:v>14.01787167985738</x:v>
      </x:c>
      <x:c r="F71" s="108" t="n">
        <x:v>378668128481679.2</x:v>
      </x:c>
      <x:c r="G71" s="109" t="n">
        <x:v>10.062622778689846</x:v>
      </x:c>
      <x:c r="H71" s="109" t="n">
        <x:v>0.45063035916190697</x:v>
      </x:c>
      <x:c r="I71" s="108" t="n">
        <x:v>72202628989501.36</x:v>
      </x:c>
      <x:c r="J71" s="109" t="n">
        <x:v>8.253611935022134</x:v>
      </x:c>
      <x:c r="K71" s="110" t="n">
        <x:v>0.876</x:v>
      </x:c>
      <x:c r="L71" s="111" t="n">
        <x:v>82.427</x:v>
      </x:c>
      <x:c r="M71" s="112" t="n">
        <x:v>0.001063</x:v>
      </x:c>
      <x:c r="N71" s="112" t="n">
        <x:v>1.465e-15</x:v>
      </x:c>
    </x:row>
    <x:row r="72">
      <x:c r="A72" s="31" t="str">
        <x:v>R071</x:v>
      </x:c>
      <x:c r="B72" s="31" t="str">
        <x:v>S090-22</x:v>
      </x:c>
      <x:c r="C72" s="35" t="n">
        <x:v>0.09</x:v>
      </x:c>
      <x:c r="D72" s="108" t="n">
        <x:v>22589756497.381306</x:v>
      </x:c>
      <x:c r="E72" s="109" t="n">
        <x:v>13.102374242294998</x:v>
      </x:c>
      <x:c r="F72" s="108" t="n">
        <x:v>40425882388410.86</x:v>
      </x:c>
      <x:c r="G72" s="109" t="n">
        <x:v>9.011547555879485</x:v>
      </x:c>
      <x:c r="H72" s="109" t="n">
        <x:v>0.10979993921744527</x:v>
      </x:c>
      <x:c r="I72" s="108" t="n">
        <x:v>1839364555119.35</x:v>
      </x:c>
      <x:c r="J72" s="109" t="n">
        <x:v>5.949305638878018</x:v>
      </x:c>
      <x:c r="K72" s="110" t="n">
        <x:v>0.537</x:v>
      </x:c>
      <x:c r="L72" s="111" t="n">
        <x:v>74.112</x:v>
      </x:c>
      <x:c r="M72" s="112" t="n">
        <x:v>0.0007741</x:v>
      </x:c>
      <x:c r="N72" s="112" t="n">
        <x:v>3.167e-12</x:v>
      </x:c>
    </x:row>
    <x:row r="73">
      <x:c r="A73" s="31" t="str">
        <x:v>R072</x:v>
      </x:c>
      <x:c r="B73" s="31" t="str">
        <x:v>S090-23</x:v>
      </x:c>
      <x:c r="C73" s="35" t="n">
        <x:v>0.09</x:v>
      </x:c>
      <x:c r="D73" s="108" t="n">
        <x:v>30113120815.980972</x:v>
      </x:c>
      <x:c r="E73" s="109" t="n">
        <x:v>8.166508072540267</x:v>
      </x:c>
      <x:c r="F73" s="108" t="n">
        <x:v>76463815013560.05</x:v>
      </x:c>
      <x:c r="G73" s="109" t="n">
        <x:v>10.052952708304499</x:v>
      </x:c>
      <x:c r="H73" s="109" t="n">
        <x:v>0.10772699988221249</x:v>
      </x:c>
      <x:c r="I73" s="108" t="n">
        <x:v>12130573381633.826</x:v>
      </x:c>
      <x:c r="J73" s="109" t="n">
        <x:v>3.064547224886895</x:v>
      </x:c>
      <x:c r="K73" s="110" t="n">
        <x:v>1.081</x:v>
      </x:c>
      <x:c r="L73" s="111" t="n">
        <x:v>93.132</x:v>
      </x:c>
      <x:c r="M73" s="112" t="n">
        <x:v>0.0004214</x:v>
      </x:c>
      <x:c r="N73" s="112" t="n">
        <x:v>6.457e-14</x:v>
      </x:c>
    </x:row>
    <x:row r="74">
      <x:c r="A74" s="31" t="str">
        <x:v>R073</x:v>
      </x:c>
      <x:c r="B74" s="31" t="str">
        <x:v>S090-24</x:v>
      </x:c>
      <x:c r="C74" s="35" t="n">
        <x:v>0.09</x:v>
      </x:c>
      <x:c r="D74" s="108" t="n">
        <x:v>84478899710.70573</x:v>
      </x:c>
      <x:c r="E74" s="109" t="n">
        <x:v>6.356254506900438</x:v>
      </x:c>
      <x:c r="F74" s="108" t="n">
        <x:v>59360998869735.59</x:v>
      </x:c>
      <x:c r="G74" s="109" t="n">
        <x:v>7.144049939529645</x:v>
      </x:c>
      <x:c r="H74" s="109" t="n">
        <x:v>0.19581075322481734</x:v>
      </x:c>
      <x:c r="I74" s="108" t="n">
        <x:v>7095611771097.081</x:v>
      </x:c>
      <x:c r="J74" s="109" t="n">
        <x:v>4.552314678503431</x:v>
      </x:c>
      <x:c r="K74" s="110" t="n">
        <x:v>0.668</x:v>
      </x:c>
      <x:c r="L74" s="111" t="n">
        <x:v>74.068</x:v>
      </x:c>
      <x:c r="M74" s="112" t="n">
        <x:v>0.000652</x:v>
      </x:c>
      <x:c r="N74" s="112" t="n">
        <x:v>4.259e-14</x:v>
      </x:c>
    </x:row>
    <x:row r="75">
      <x:c r="A75" s="31" t="str">
        <x:v>R074</x:v>
      </x:c>
      <x:c r="B75" s="31" t="str">
        <x:v>S090-25</x:v>
      </x:c>
      <x:c r="C75" s="35" t="n">
        <x:v>0.09</x:v>
      </x:c>
      <x:c r="D75" s="108" t="n">
        <x:v>33807426404.30022</x:v>
      </x:c>
      <x:c r="E75" s="109" t="n">
        <x:v>11.196427014702648</x:v>
      </x:c>
      <x:c r="F75" s="108" t="n">
        <x:v>139305841318391.97</x:v>
      </x:c>
      <x:c r="G75" s="109" t="n">
        <x:v>7.486946077710996</x:v>
      </x:c>
      <x:c r="H75" s="109" t="n">
        <x:v>0.45815770842849873</x:v>
      </x:c>
      <x:c r="I75" s="108" t="n">
        <x:v>6770426777502.213</x:v>
      </x:c>
      <x:c r="J75" s="109" t="n">
        <x:v>3.2087258768159996</x:v>
      </x:c>
      <x:c r="K75" s="110" t="n">
        <x:v>0.572</x:v>
      </x:c>
      <x:c r="L75" s="111" t="n">
        <x:v>78.409</x:v>
      </x:c>
      <x:c r="M75" s="112" t="n">
        <x:v>0.001002</x:v>
      </x:c>
      <x:c r="N75" s="112" t="n">
        <x:v>2.924e-11</x:v>
      </x:c>
    </x:row>
    <x:row r="76">
      <x:c r="A76" s="31" t="str">
        <x:v>R075</x:v>
      </x:c>
      <x:c r="B76" s="31" t="str">
        <x:v>S090-26</x:v>
      </x:c>
      <x:c r="C76" s="35" t="n">
        <x:v>0.09</x:v>
      </x:c>
      <x:c r="D76" s="108" t="n">
        <x:v>19085522501.49686</x:v>
      </x:c>
      <x:c r="E76" s="109" t="n">
        <x:v>6.721364816431198</x:v>
      </x:c>
      <x:c r="F76" s="108" t="n">
        <x:v>69291692620215.99</x:v>
      </x:c>
      <x:c r="G76" s="109" t="n">
        <x:v>9.19520405522051</x:v>
      </x:c>
      <x:c r="H76" s="109" t="n">
        <x:v>0.10488054119974799</x:v>
      </x:c>
      <x:c r="I76" s="108" t="n">
        <x:v>6634903134665.553</x:v>
      </x:c>
      <x:c r="J76" s="109" t="n">
        <x:v>8.538580745255134</x:v>
      </x:c>
      <x:c r="K76" s="110" t="n">
        <x:v>0.6</x:v>
      </x:c>
      <x:c r="L76" s="111" t="n">
        <x:v>72.259</x:v>
      </x:c>
      <x:c r="M76" s="112" t="n">
        <x:v>0.0008197</x:v>
      </x:c>
      <x:c r="N76" s="112" t="n">
        <x:v>1.36e-13</x:v>
      </x:c>
    </x:row>
    <x:row r="77">
      <x:c r="A77" s="31" t="str">
        <x:v>R076</x:v>
      </x:c>
      <x:c r="B77" s="31" t="str">
        <x:v>S090-27</x:v>
      </x:c>
      <x:c r="C77" s="35" t="n">
        <x:v>0.09</x:v>
      </x:c>
      <x:c r="D77" s="108" t="n">
        <x:v>58097757467.46104</x:v>
      </x:c>
      <x:c r="E77" s="109" t="n">
        <x:v>9.029028493954318</x:v>
      </x:c>
      <x:c r="F77" s="108" t="n">
        <x:v>81443143698055.48</x:v>
      </x:c>
      <x:c r="G77" s="109" t="n">
        <x:v>11.353442562155351</x:v>
      </x:c>
      <x:c r="H77" s="109" t="n">
        <x:v>0.27864544747364145</x:v>
      </x:c>
      <x:c r="I77" s="108" t="n">
        <x:v>14773181237275.354</x:v>
      </x:c>
      <x:c r="J77" s="109" t="n">
        <x:v>8.956382091964329</x:v>
      </x:c>
      <x:c r="K77" s="110" t="n">
        <x:v>0.647</x:v>
      </x:c>
      <x:c r="L77" s="111" t="n">
        <x:v>73.394</x:v>
      </x:c>
      <x:c r="M77" s="112" t="n">
        <x:v>0.0007649</x:v>
      </x:c>
      <x:c r="N77" s="112" t="n">
        <x:v>1.369e-14</x:v>
      </x:c>
    </x:row>
    <x:row r="78">
      <x:c r="A78" s="31" t="str">
        <x:v>R077</x:v>
      </x:c>
      <x:c r="B78" s="31" t="str">
        <x:v>S090-28</x:v>
      </x:c>
      <x:c r="C78" s="35" t="n">
        <x:v>0.09</x:v>
      </x:c>
      <x:c r="D78" s="108" t="n">
        <x:v>90511021393.38602</x:v>
      </x:c>
      <x:c r="E78" s="109" t="n">
        <x:v>12.320710091004287</x:v>
      </x:c>
      <x:c r="F78" s="108" t="n">
        <x:v>75131255795813.89</x:v>
      </x:c>
      <x:c r="G78" s="109" t="n">
        <x:v>9.94084675305742</x:v>
      </x:c>
      <x:c r="H78" s="109" t="n">
        <x:v>0.14054039542496274</x:v>
      </x:c>
      <x:c r="I78" s="108" t="n">
        <x:v>16162484743232.19</x:v>
      </x:c>
      <x:c r="J78" s="109" t="n">
        <x:v>3.0370661395016008</x:v>
      </x:c>
      <x:c r="K78" s="110" t="n">
        <x:v>1.502</x:v>
      </x:c>
      <x:c r="L78" s="111" t="n">
        <x:v>100.711</x:v>
      </x:c>
      <x:c r="M78" s="112" t="n">
        <x:v>0.0002783</x:v>
      </x:c>
      <x:c r="N78" s="112" t="n">
        <x:v>1.621e-15</x:v>
      </x:c>
    </x:row>
    <x:row r="79">
      <x:c r="A79" s="31" t="str">
        <x:v>R078</x:v>
      </x:c>
      <x:c r="B79" s="31" t="str">
        <x:v>S090-29</x:v>
      </x:c>
      <x:c r="C79" s="35" t="n">
        <x:v>0.09</x:v>
      </x:c>
      <x:c r="D79" s="108" t="n">
        <x:v>75650047768.5045</x:v>
      </x:c>
      <x:c r="E79" s="109" t="n">
        <x:v>13.699076972875194</x:v>
      </x:c>
      <x:c r="F79" s="108" t="n">
        <x:v>139880303165010.05</x:v>
      </x:c>
      <x:c r="G79" s="109" t="n">
        <x:v>14.984086359816597</x:v>
      </x:c>
      <x:c r="H79" s="109" t="n">
        <x:v>0.33256465336138996</x:v>
      </x:c>
      <x:c r="I79" s="108" t="n">
        <x:v>10269798743990.52</x:v>
      </x:c>
      <x:c r="J79" s="109" t="n">
        <x:v>7.689181107010893</x:v>
      </x:c>
      <x:c r="K79" s="110" t="n">
        <x:v>0.528</x:v>
      </x:c>
      <x:c r="L79" s="111" t="n">
        <x:v>94.254</x:v>
      </x:c>
      <x:c r="M79" s="112" t="n">
        <x:v>0.001185</x:v>
      </x:c>
      <x:c r="N79" s="112" t="n">
        <x:v>5.248e-8</x:v>
      </x:c>
    </x:row>
    <x:row r="80">
      <x:c r="A80" s="31" t="str">
        <x:v>R079</x:v>
      </x:c>
      <x:c r="B80" s="31" t="str">
        <x:v>S090-30</x:v>
      </x:c>
      <x:c r="C80" s="35" t="n">
        <x:v>0.09</x:v>
      </x:c>
      <x:c r="D80" s="108" t="n">
        <x:v>27709960367.396587</x:v>
      </x:c>
      <x:c r="E80" s="109" t="n">
        <x:v>5.112823131973622</x:v>
      </x:c>
      <x:c r="F80" s="108" t="n">
        <x:v>933209166047984.2</x:v>
      </x:c>
      <x:c r="G80" s="109" t="n">
        <x:v>7.466755716482328</x:v>
      </x:c>
      <x:c r="H80" s="109" t="n">
        <x:v>0.45667885030366756</x:v>
      </x:c>
      <x:c r="I80" s="108" t="n">
        <x:v>15352748371768.102</x:v>
      </x:c>
      <x:c r="J80" s="109" t="n">
        <x:v>3.8111276645268766</x:v>
      </x:c>
      <x:c r="K80" s="110" t="n">
        <x:v>0.457</x:v>
      </x:c>
      <x:c r="L80" s="111" t="n">
        <x:v>320.774</x:v>
      </x:c>
      <x:c r="M80" s="112" t="n">
        <x:v>0.002083</x:v>
      </x:c>
      <x:c r="N80" s="112" t="n">
        <x:v>0.00008599</x:v>
      </x:c>
    </x:row>
    <x:row r="81">
      <x:c r="A81" s="31" t="str">
        <x:v>R080</x:v>
      </x:c>
      <x:c r="B81" s="31" t="str">
        <x:v>S090-31</x:v>
      </x:c>
      <x:c r="C81" s="35" t="n">
        <x:v>0.09</x:v>
      </x:c>
      <x:c r="D81" s="108" t="n">
        <x:v>10262079140.803759</x:v>
      </x:c>
      <x:c r="E81" s="109" t="n">
        <x:v>7.193845801463339</x:v>
      </x:c>
      <x:c r="F81" s="108" t="n">
        <x:v>577254644946635.6</x:v>
      </x:c>
      <x:c r="G81" s="109" t="n">
        <x:v>12.66329676453254</x:v>
      </x:c>
      <x:c r="H81" s="109" t="n">
        <x:v>0.4375293735235815</x:v>
      </x:c>
      <x:c r="I81" s="108" t="n">
        <x:v>19847230686791.293</x:v>
      </x:c>
      <x:c r="J81" s="109" t="n">
        <x:v>6.413257888690267</x:v>
      </x:c>
      <x:c r="K81" s="110" t="n">
        <x:v>0.496</x:v>
      </x:c>
      <x:c r="L81" s="111" t="n">
        <x:v>255.846</x:v>
      </x:c>
      <x:c r="M81" s="112" t="n">
        <x:v>0.00189</x:v>
      </x:c>
      <x:c r="N81" s="112" t="n">
        <x:v>0.00003812</x:v>
      </x:c>
    </x:row>
    <x:row r="82">
      <x:c r="A82" s="31" t="str">
        <x:v>R081</x:v>
      </x:c>
      <x:c r="B82" s="31" t="str">
        <x:v>S090-32</x:v>
      </x:c>
      <x:c r="C82" s="35" t="n">
        <x:v>0.09</x:v>
      </x:c>
      <x:c r="D82" s="108" t="n">
        <x:v>81914218828.97585</x:v>
      </x:c>
      <x:c r="E82" s="109" t="n">
        <x:v>10.359143331498705</x:v>
      </x:c>
      <x:c r="F82" s="108" t="n">
        <x:v>356397068862733.44</x:v>
      </x:c>
      <x:c r="G82" s="109" t="n">
        <x:v>9.476754466351464</x:v>
      </x:c>
      <x:c r="H82" s="109" t="n">
        <x:v>0.44080434947311103</x:v>
      </x:c>
      <x:c r="I82" s="108" t="n">
        <x:v>68058736513727.7</x:v>
      </x:c>
      <x:c r="J82" s="109" t="n">
        <x:v>8.066282439403869</x:v>
      </x:c>
      <x:c r="K82" s="110" t="n">
        <x:v>0.906</x:v>
      </x:c>
      <x:c r="L82" s="111" t="n">
        <x:v>84.184</x:v>
      </x:c>
      <x:c r="M82" s="112" t="n">
        <x:v>0.0009576</x:v>
      </x:c>
      <x:c r="N82" s="112" t="n">
        <x:v>1.326e-15</x:v>
      </x:c>
    </x:row>
    <x:row r="83">
      <x:c r="A83" s="31" t="str">
        <x:v>R082</x:v>
      </x:c>
      <x:c r="B83" s="31" t="str">
        <x:v>S090-33</x:v>
      </x:c>
      <x:c r="C83" s="35" t="n">
        <x:v>0.09</x:v>
      </x:c>
      <x:c r="D83" s="108" t="n">
        <x:v>27813873008.73684</x:v>
      </x:c>
      <x:c r="E83" s="109" t="n">
        <x:v>6.405813411783865</x:v>
      </x:c>
      <x:c r="F83" s="108" t="n">
        <x:v>531310481137487.9</x:v>
      </x:c>
      <x:c r="G83" s="109" t="n">
        <x:v>12.46927006419671</x:v>
      </x:c>
      <x:c r="H83" s="109" t="n">
        <x:v>0.1493102830159184</x:v>
      </x:c>
      <x:c r="I83" s="108" t="n">
        <x:v>13737276141109.213</x:v>
      </x:c>
      <x:c r="J83" s="109" t="n">
        <x:v>8.387605295363034</x:v>
      </x:c>
      <x:c r="K83" s="110" t="n">
        <x:v>0.559</x:v>
      </x:c>
      <x:c r="L83" s="111" t="n">
        <x:v>89.124</x:v>
      </x:c>
      <x:c r="M83" s="112" t="n">
        <x:v>0.001625</x:v>
      </x:c>
      <x:c r="N83" s="112" t="n">
        <x:v>9.26e-9</x:v>
      </x:c>
    </x:row>
    <x:row r="84">
      <x:c r="A84" s="31" t="str">
        <x:v>R083</x:v>
      </x:c>
      <x:c r="B84" s="31" t="str">
        <x:v>S090-34</x:v>
      </x:c>
      <x:c r="C84" s="35" t="n">
        <x:v>0.09</x:v>
      </x:c>
      <x:c r="D84" s="108" t="n">
        <x:v>21276760220.403397</x:v>
      </x:c>
      <x:c r="E84" s="109" t="n">
        <x:v>7.422104693219317</x:v>
      </x:c>
      <x:c r="F84" s="108" t="n">
        <x:v>527198507053918.1</x:v>
      </x:c>
      <x:c r="G84" s="109" t="n">
        <x:v>9.46441075039099</x:v>
      </x:c>
      <x:c r="H84" s="109" t="n">
        <x:v>0.34130553328422886</x:v>
      </x:c>
      <x:c r="I84" s="108" t="n">
        <x:v>53982588271934.96</x:v>
      </x:c>
      <x:c r="J84" s="109" t="n">
        <x:v>8.259428142897194</x:v>
      </x:c>
      <x:c r="K84" s="110" t="n">
        <x:v>0.731</x:v>
      </x:c>
      <x:c r="L84" s="111" t="n">
        <x:v>76.778</x:v>
      </x:c>
      <x:c r="M84" s="112" t="n">
        <x:v>0.001414</x:v>
      </x:c>
      <x:c r="N84" s="112" t="n">
        <x:v>1.191e-14</x:v>
      </x:c>
    </x:row>
    <x:row r="85">
      <x:c r="A85" s="31" t="str">
        <x:v>R084</x:v>
      </x:c>
      <x:c r="B85" s="31" t="str">
        <x:v>S090-35</x:v>
      </x:c>
      <x:c r="C85" s="35" t="n">
        <x:v>0.09</x:v>
      </x:c>
      <x:c r="D85" s="108" t="n">
        <x:v>19161198898.81736</x:v>
      </x:c>
      <x:c r="E85" s="109" t="n">
        <x:v>12.37842246811733</x:v>
      </x:c>
      <x:c r="F85" s="108" t="n">
        <x:v>213274448785383.9</x:v>
      </x:c>
      <x:c r="G85" s="109" t="n">
        <x:v>14.553827904276616</x:v>
      </x:c>
      <x:c r="H85" s="109" t="n">
        <x:v>0.13464982345035756</x:v>
      </x:c>
      <x:c r="I85" s="108" t="n">
        <x:v>51301240444382.34</x:v>
      </x:c>
      <x:c r="J85" s="109" t="n">
        <x:v>8.600413661587153</x:v>
      </x:c>
      <x:c r="K85" s="110" t="n">
        <x:v>0.85</x:v>
      </x:c>
      <x:c r="L85" s="111" t="n">
        <x:v>82.238</x:v>
      </x:c>
      <x:c r="M85" s="112" t="n">
        <x:v>0.0006143</x:v>
      </x:c>
      <x:c r="N85" s="112" t="n">
        <x:v>1.508e-15</x:v>
      </x:c>
    </x:row>
    <x:row r="86">
      <x:c r="A86" s="31" t="str">
        <x:v>R085</x:v>
      </x:c>
      <x:c r="B86" s="31" t="str">
        <x:v>S090-36</x:v>
      </x:c>
      <x:c r="C86" s="35" t="n">
        <x:v>0.09</x:v>
      </x:c>
      <x:c r="D86" s="108" t="n">
        <x:v>60148247003.54413</x:v>
      </x:c>
      <x:c r="E86" s="109" t="n">
        <x:v>10.01690991124094</x:v>
      </x:c>
      <x:c r="F86" s="108" t="n">
        <x:v>152976685974691.78</x:v>
      </x:c>
      <x:c r="G86" s="109" t="n">
        <x:v>8.67575375089734</x:v>
      </x:c>
      <x:c r="H86" s="109" t="n">
        <x:v>0.3944024579453407</x:v>
      </x:c>
      <x:c r="I86" s="108" t="n">
        <x:v>9600861646485.857</x:v>
      </x:c>
      <x:c r="J86" s="109" t="n">
        <x:v>8.98419312691276</x:v>
      </x:c>
      <x:c r="K86" s="110" t="n">
        <x:v>0.591</x:v>
      </x:c>
      <x:c r="L86" s="111" t="n">
        <x:v>74.678</x:v>
      </x:c>
      <x:c r="M86" s="112" t="n">
        <x:v>0.001209</x:v>
      </x:c>
      <x:c r="N86" s="112" t="n">
        <x:v>1.882e-12</x:v>
      </x:c>
    </x:row>
    <x:row r="87">
      <x:c r="A87" s="31" t="str">
        <x:v>R086</x:v>
      </x:c>
      <x:c r="B87" s="31" t="str">
        <x:v>S090-37</x:v>
      </x:c>
      <x:c r="C87" s="35" t="n">
        <x:v>0.09</x:v>
      </x:c>
      <x:c r="D87" s="108" t="n">
        <x:v>29684892938.777832</x:v>
      </x:c>
      <x:c r="E87" s="109" t="n">
        <x:v>8.903607801432244</x:v>
      </x:c>
      <x:c r="F87" s="108" t="n">
        <x:v>606643576317406.1</x:v>
      </x:c>
      <x:c r="G87" s="109" t="n">
        <x:v>7.892949051463127</x:v>
      </x:c>
      <x:c r="H87" s="109" t="n">
        <x:v>0.3848247446430112</x:v>
      </x:c>
      <x:c r="I87" s="108" t="n">
        <x:v>55651085452183.24</x:v>
      </x:c>
      <x:c r="J87" s="109" t="n">
        <x:v>8.25085079266022</x:v>
      </x:c>
      <x:c r="K87" s="110" t="n">
        <x:v>0.655</x:v>
      </x:c>
      <x:c r="L87" s="111" t="n">
        <x:v>78.49</x:v>
      </x:c>
      <x:c r="M87" s="112" t="n">
        <x:v>0.001636</x:v>
      </x:c>
      <x:c r="N87" s="112" t="n">
        <x:v>2.455e-12</x:v>
      </x:c>
    </x:row>
    <x:row r="88">
      <x:c r="A88" s="31" t="str">
        <x:v>R087</x:v>
      </x:c>
      <x:c r="B88" s="31" t="str">
        <x:v>S090-38</x:v>
      </x:c>
      <x:c r="C88" s="35" t="n">
        <x:v>0.09</x:v>
      </x:c>
      <x:c r="D88" s="108" t="n">
        <x:v>55780143949.11017</x:v>
      </x:c>
      <x:c r="E88" s="109" t="n">
        <x:v>11.738220433788296</x:v>
      </x:c>
      <x:c r="F88" s="108" t="n">
        <x:v>104307585243491.94</x:v>
      </x:c>
      <x:c r="G88" s="109" t="n">
        <x:v>7.296173311501476</x:v>
      </x:c>
      <x:c r="H88" s="109" t="n">
        <x:v>0.14993511856295463</x:v>
      </x:c>
      <x:c r="I88" s="108" t="n">
        <x:v>16932268019665.521</x:v>
      </x:c>
      <x:c r="J88" s="109" t="n">
        <x:v>6.344174680898558</x:v>
      </x:c>
      <x:c r="K88" s="110" t="n">
        <x:v>0.78</x:v>
      </x:c>
      <x:c r="L88" s="111" t="n">
        <x:v>78.27</x:v>
      </x:c>
      <x:c r="M88" s="112" t="n">
        <x:v>0.0006669</x:v>
      </x:c>
      <x:c r="N88" s="112" t="n">
        <x:v>2.821e-15</x:v>
      </x:c>
    </x:row>
    <x:row r="89">
      <x:c r="A89" s="31" t="str">
        <x:v>R088</x:v>
      </x:c>
      <x:c r="B89" s="31" t="str">
        <x:v>S090-39</x:v>
      </x:c>
      <x:c r="C89" s="35" t="n">
        <x:v>0.09</x:v>
      </x:c>
      <x:c r="D89" s="108" t="n">
        <x:v>24516533591.606762</x:v>
      </x:c>
      <x:c r="E89" s="109" t="n">
        <x:v>12.437557820407838</x:v>
      </x:c>
      <x:c r="F89" s="108" t="n">
        <x:v>230501302308283.62</x:v>
      </x:c>
      <x:c r="G89" s="109" t="n">
        <x:v>9.126085188861111</x:v>
      </x:c>
      <x:c r="H89" s="109" t="n">
        <x:v>0.18818891033750176</x:v>
      </x:c>
      <x:c r="I89" s="108" t="n">
        <x:v>24748671308249.586</x:v>
      </x:c>
      <x:c r="J89" s="109" t="n">
        <x:v>8.001466455076503</x:v>
      </x:c>
      <x:c r="K89" s="110" t="n">
        <x:v>0.686</x:v>
      </x:c>
      <x:c r="L89" s="111" t="n">
        <x:v>74.924</x:v>
      </x:c>
      <x:c r="M89" s="112" t="n">
        <x:v>0.001128</x:v>
      </x:c>
      <x:c r="N89" s="112" t="n">
        <x:v>1.949e-14</x:v>
      </x:c>
    </x:row>
    <x:row r="90">
      <x:c r="A90" s="31" t="str">
        <x:v>R089</x:v>
      </x:c>
      <x:c r="B90" s="31" t="str">
        <x:v>S090-40</x:v>
      </x:c>
      <x:c r="C90" s="35" t="n">
        <x:v>0.09</x:v>
      </x:c>
      <x:c r="D90" s="108" t="n">
        <x:v>59337656871.375244</x:v>
      </x:c>
      <x:c r="E90" s="109" t="n">
        <x:v>13.367829283288346</x:v>
      </x:c>
      <x:c r="F90" s="108" t="n">
        <x:v>51269106082329.086</x:v>
      </x:c>
      <x:c r="G90" s="109" t="n">
        <x:v>9.636557171531045</x:v>
      </x:c>
      <x:c r="H90" s="109" t="n">
        <x:v>0.3965707793675468</x:v>
      </x:c>
      <x:c r="I90" s="108" t="n">
        <x:v>3248205985573.926</x:v>
      </x:c>
      <x:c r="J90" s="109" t="n">
        <x:v>8.917565536880522</x:v>
      </x:c>
      <x:c r="K90" s="110" t="n">
        <x:v>0.55</x:v>
      </x:c>
      <x:c r="L90" s="111" t="n">
        <x:v>73.635</x:v>
      </x:c>
      <x:c r="M90" s="112" t="n">
        <x:v>0.0008515</x:v>
      </x:c>
      <x:c r="N90" s="112" t="n">
        <x:v>2.204e-12</x:v>
      </x:c>
    </x:row>
    <x:row r="91">
      <x:c r="A91" s="31" t="str">
        <x:v>R090</x:v>
      </x:c>
      <x:c r="B91" s="31" t="str">
        <x:v>S090-41</x:v>
      </x:c>
      <x:c r="C91" s="35" t="n">
        <x:v>0.09</x:v>
      </x:c>
      <x:c r="D91" s="108" t="n">
        <x:v>23653092406.190342</x:v>
      </x:c>
      <x:c r="E91" s="109" t="n">
        <x:v>6.742523244695953</x:v>
      </x:c>
      <x:c r="F91" s="108" t="n">
        <x:v>497433743774646.5</x:v>
      </x:c>
      <x:c r="G91" s="109" t="n">
        <x:v>11.247368575638092</x:v>
      </x:c>
      <x:c r="H91" s="109" t="n">
        <x:v>0.478681186416726</x:v>
      </x:c>
      <x:c r="I91" s="108" t="n">
        <x:v>67527830778121.55</x:v>
      </x:c>
      <x:c r="J91" s="109" t="n">
        <x:v>8.220737893186309</x:v>
      </x:c>
      <x:c r="K91" s="110" t="n">
        <x:v>0.722</x:v>
      </x:c>
      <x:c r="L91" s="111" t="n">
        <x:v>76.526</x:v>
      </x:c>
      <x:c r="M91" s="112" t="n">
        <x:v>0.001452</x:v>
      </x:c>
      <x:c r="N91" s="112" t="n">
        <x:v>2.982e-14</x:v>
      </x:c>
    </x:row>
    <x:row r="92">
      <x:c r="A92" s="31" t="str">
        <x:v>R091</x:v>
      </x:c>
      <x:c r="B92" s="31" t="str">
        <x:v>S090-42</x:v>
      </x:c>
      <x:c r="C92" s="35" t="n">
        <x:v>0.09</x:v>
      </x:c>
      <x:c r="D92" s="108" t="n">
        <x:v>95264485944.21196</x:v>
      </x:c>
      <x:c r="E92" s="109" t="n">
        <x:v>5.7632537432240305</x:v>
      </x:c>
      <x:c r="F92" s="108" t="n">
        <x:v>643339450677299.5</x:v>
      </x:c>
      <x:c r="G92" s="109" t="n">
        <x:v>12.766688951384364</x:v>
      </x:c>
      <x:c r="H92" s="109" t="n">
        <x:v>0.42830769375603883</x:v>
      </x:c>
      <x:c r="I92" s="108" t="n">
        <x:v>11478535678790.855</x:v>
      </x:c>
      <x:c r="J92" s="109" t="n">
        <x:v>6.133062283260021</x:v>
      </x:c>
      <x:c r="K92" s="110" t="n">
        <x:v>0.456</x:v>
      </x:c>
      <x:c r="L92" s="111" t="n">
        <x:v>357.699</x:v>
      </x:c>
      <x:c r="M92" s="112" t="n">
        <x:v>0.00201</x:v>
      </x:c>
      <x:c r="N92" s="112" t="n">
        <x:v>0.00009013</x:v>
      </x:c>
    </x:row>
    <x:row r="93">
      <x:c r="A93" s="31" t="str">
        <x:v>R092</x:v>
      </x:c>
      <x:c r="B93" s="31" t="str">
        <x:v>S090-43</x:v>
      </x:c>
      <x:c r="C93" s="35" t="n">
        <x:v>0.09</x:v>
      </x:c>
      <x:c r="D93" s="108" t="n">
        <x:v>29280671797.98524</x:v>
      </x:c>
      <x:c r="E93" s="109" t="n">
        <x:v>5.590599467608753</x:v>
      </x:c>
      <x:c r="F93" s="108" t="n">
        <x:v>415660603917807.8</x:v>
      </x:c>
      <x:c r="G93" s="109" t="n">
        <x:v>14.231760798254943</x:v>
      </x:c>
      <x:c r="H93" s="109" t="n">
        <x:v>0.36223191797279586</x:v>
      </x:c>
      <x:c r="I93" s="108" t="n">
        <x:v>25406177058489.766</x:v>
      </x:c>
      <x:c r="J93" s="109" t="n">
        <x:v>7.892457878134928</x:v>
      </x:c>
      <x:c r="K93" s="110" t="n">
        <x:v>0.549</x:v>
      </x:c>
      <x:c r="L93" s="111" t="n">
        <x:v>121.499</x:v>
      </x:c>
      <x:c r="M93" s="112" t="n">
        <x:v>0.001658</x:v>
      </x:c>
      <x:c r="N93" s="112" t="n">
        <x:v>8.965e-7</x:v>
      </x:c>
    </x:row>
    <x:row r="94">
      <x:c r="A94" s="31" t="str">
        <x:v>R093</x:v>
      </x:c>
      <x:c r="B94" s="31" t="str">
        <x:v>S090-44</x:v>
      </x:c>
      <x:c r="C94" s="35" t="n">
        <x:v>0.09</x:v>
      </x:c>
      <x:c r="D94" s="108" t="n">
        <x:v>69009253367.11795</x:v>
      </x:c>
      <x:c r="E94" s="109" t="n">
        <x:v>10.795882675991761</x:v>
      </x:c>
      <x:c r="F94" s="108" t="n">
        <x:v>110218275106143.03</x:v>
      </x:c>
      <x:c r="G94" s="109" t="n">
        <x:v>7.731249046926181</x:v>
      </x:c>
      <x:c r="H94" s="109" t="n">
        <x:v>0.10620759088615306</x:v>
      </x:c>
      <x:c r="I94" s="108" t="n">
        <x:v>1074164012304.0276</x:v>
      </x:c>
      <x:c r="J94" s="109" t="n">
        <x:v>8.193771500290453</x:v>
      </x:c>
      <x:c r="K94" s="110" t="n">
        <x:v>0.538</x:v>
      </x:c>
      <x:c r="L94" s="111" t="n">
        <x:v>78.377</x:v>
      </x:c>
      <x:c r="M94" s="112" t="n">
        <x:v>0.001134</x:v>
      </x:c>
      <x:c r="N94" s="112" t="n">
        <x:v>6.579e-11</x:v>
      </x:c>
    </x:row>
    <x:row r="95">
      <x:c r="A95" s="31" t="str">
        <x:v>R094</x:v>
      </x:c>
      <x:c r="B95" s="31" t="str">
        <x:v>S090-45</x:v>
      </x:c>
      <x:c r="C95" s="35" t="n">
        <x:v>0.09</x:v>
      </x:c>
      <x:c r="D95" s="108" t="n">
        <x:v>73007029817.96191</x:v>
      </x:c>
      <x:c r="E95" s="109" t="n">
        <x:v>9.501885355305319</x:v>
      </x:c>
      <x:c r="F95" s="108" t="n">
        <x:v>707274435073135.9</x:v>
      </x:c>
      <x:c r="G95" s="109" t="n">
        <x:v>13.783697118561399</x:v>
      </x:c>
      <x:c r="H95" s="109" t="n">
        <x:v>0.20890681147751594</x:v>
      </x:c>
      <x:c r="I95" s="108" t="n">
        <x:v>83701969122463.39</x:v>
      </x:c>
      <x:c r="J95" s="109" t="n">
        <x:v>8.023393385693645</x:v>
      </x:c>
      <x:c r="K95" s="110" t="n">
        <x:v>0.749</x:v>
      </x:c>
      <x:c r="L95" s="111" t="n">
        <x:v>77.285</x:v>
      </x:c>
      <x:c r="M95" s="112" t="n">
        <x:v>0.001422</x:v>
      </x:c>
      <x:c r="N95" s="112" t="n">
        <x:v>1.609e-14</x:v>
      </x:c>
    </x:row>
    <x:row r="96">
      <x:c r="A96" s="31" t="str">
        <x:v>R095</x:v>
      </x:c>
      <x:c r="B96" s="31" t="str">
        <x:v>S090-46</x:v>
      </x:c>
      <x:c r="C96" s="35" t="n">
        <x:v>0.09</x:v>
      </x:c>
      <x:c r="D96" s="108" t="n">
        <x:v>10204781317.521288</x:v>
      </x:c>
      <x:c r="E96" s="109" t="n">
        <x:v>5.699038992641245</x:v>
      </x:c>
      <x:c r="F96" s="108" t="n">
        <x:v>149762629300309.2</x:v>
      </x:c>
      <x:c r="G96" s="109" t="n">
        <x:v>8.62707605883837</x:v>
      </x:c>
      <x:c r="H96" s="109" t="n">
        <x:v>0.44636333032752157</x:v>
      </x:c>
      <x:c r="I96" s="108" t="n">
        <x:v>1043790634333.6644</x:v>
      </x:c>
      <x:c r="J96" s="109" t="n">
        <x:v>8.318727682278963</x:v>
      </x:c>
      <x:c r="K96" s="110" t="n">
        <x:v>0.513</x:v>
      </x:c>
      <x:c r="L96" s="111" t="n">
        <x:v>90.97</x:v>
      </x:c>
      <x:c r="M96" s="112" t="n">
        <x:v>0.001362</x:v>
      </x:c>
      <x:c r="N96" s="112" t="n">
        <x:v>7.587e-9</x:v>
      </x:c>
    </x:row>
    <x:row r="97">
      <x:c r="A97" s="31" t="str">
        <x:v>R096</x:v>
      </x:c>
      <x:c r="B97" s="31" t="str">
        <x:v>S090-47</x:v>
      </x:c>
      <x:c r="C97" s="35" t="n">
        <x:v>0.09</x:v>
      </x:c>
      <x:c r="D97" s="108" t="n">
        <x:v>95536442890.21588</x:v>
      </x:c>
      <x:c r="E97" s="109" t="n">
        <x:v>14.389988866184817</x:v>
      </x:c>
      <x:c r="F97" s="108" t="n">
        <x:v>173453342725536.56</x:v>
      </x:c>
      <x:c r="G97" s="109" t="n">
        <x:v>13.801473350515712</x:v>
      </x:c>
      <x:c r="H97" s="109" t="n">
        <x:v>0.13984211410842917</x:v>
      </x:c>
      <x:c r="I97" s="108" t="n">
        <x:v>15979284272773.5</x:v>
      </x:c>
      <x:c r="J97" s="109" t="n">
        <x:v>5.916720875073542</x:v>
      </x:c>
      <x:c r="K97" s="110" t="n">
        <x:v>0.584</x:v>
      </x:c>
      <x:c r="L97" s="111" t="n">
        <x:v>78.651</x:v>
      </x:c>
      <x:c r="M97" s="112" t="n">
        <x:v>0.0009889</x:v>
      </x:c>
      <x:c r="N97" s="112" t="n">
        <x:v>4.645e-10</x:v>
      </x:c>
    </x:row>
    <x:row r="98">
      <x:c r="A98" s="31" t="str">
        <x:v>R097</x:v>
      </x:c>
      <x:c r="B98" s="31" t="str">
        <x:v>S090-48</x:v>
      </x:c>
      <x:c r="C98" s="35" t="n">
        <x:v>0.09</x:v>
      </x:c>
      <x:c r="D98" s="108" t="n">
        <x:v>14362986753.419447</x:v>
      </x:c>
      <x:c r="E98" s="109" t="n">
        <x:v>8.740896884101742</x:v>
      </x:c>
      <x:c r="F98" s="108" t="n">
        <x:v>734784345416845.8</x:v>
      </x:c>
      <x:c r="G98" s="109" t="n">
        <x:v>8.865620127459785</x:v>
      </x:c>
      <x:c r="H98" s="109" t="n">
        <x:v>0.12905269660691437</x:v>
      </x:c>
      <x:c r="I98" s="108" t="n">
        <x:v>19596205149235.117</x:v>
      </x:c>
      <x:c r="J98" s="109" t="n">
        <x:v>4.057173595456687</x:v>
      </x:c>
      <x:c r="K98" s="110" t="n">
        <x:v>0.591</x:v>
      </x:c>
      <x:c r="L98" s="111" t="n">
        <x:v>85.422</x:v>
      </x:c>
      <x:c r="M98" s="112" t="n">
        <x:v>0.001555</x:v>
      </x:c>
      <x:c r="N98" s="112" t="n">
        <x:v>1.069e-9</x:v>
      </x:c>
    </x:row>
    <x:row r="99">
      <x:c r="A99" s="31" t="str">
        <x:v>R098</x:v>
      </x:c>
      <x:c r="B99" s="31" t="str">
        <x:v>S090-49</x:v>
      </x:c>
      <x:c r="C99" s="35" t="n">
        <x:v>0.09</x:v>
      </x:c>
      <x:c r="D99" s="108" t="n">
        <x:v>84736749958.1665</x:v>
      </x:c>
      <x:c r="E99" s="109" t="n">
        <x:v>13.828942940578285</x:v>
      </x:c>
      <x:c r="F99" s="108" t="n">
        <x:v>130346560778911.52</x:v>
      </x:c>
      <x:c r="G99" s="109" t="n">
        <x:v>10.979845420378691</x:v>
      </x:c>
      <x:c r="H99" s="109" t="n">
        <x:v>0.4231216338367629</x:v>
      </x:c>
      <x:c r="I99" s="108" t="n">
        <x:v>15563465147396.566</x:v>
      </x:c>
      <x:c r="J99" s="109" t="n">
        <x:v>5.977685439846348</x:v>
      </x:c>
      <x:c r="K99" s="110" t="n">
        <x:v>0.605</x:v>
      </x:c>
      <x:c r="L99" s="111" t="n">
        <x:v>75.083</x:v>
      </x:c>
      <x:c r="M99" s="112" t="n">
        <x:v>0.0009632</x:v>
      </x:c>
      <x:c r="N99" s="112" t="n">
        <x:v>3.277e-12</x:v>
      </x:c>
    </x:row>
    <x:row r="100">
      <x:c r="A100" s="31" t="str">
        <x:v>R099</x:v>
      </x:c>
      <x:c r="B100" s="31" t="str">
        <x:v>S090-50</x:v>
      </x:c>
      <x:c r="C100" s="35" t="n">
        <x:v>0.09</x:v>
      </x:c>
      <x:c r="D100" s="108" t="n">
        <x:v>39445609866.06845</x:v>
      </x:c>
      <x:c r="E100" s="109" t="n">
        <x:v>9.693071010165093</x:v>
      </x:c>
      <x:c r="F100" s="108" t="n">
        <x:v>283750161120411.2</x:v>
      </x:c>
      <x:c r="G100" s="109" t="n">
        <x:v>11.135261511616818</x:v>
      </x:c>
      <x:c r="H100" s="109" t="n">
        <x:v>0.42790555656025236</x:v>
      </x:c>
      <x:c r="I100" s="108" t="n">
        <x:v>70174105494634.89</x:v>
      </x:c>
      <x:c r="J100" s="109" t="n">
        <x:v>8.844949142031012</x:v>
      </x:c>
      <x:c r="K100" s="110" t="n">
        <x:v>0.934</x:v>
      </x:c>
      <x:c r="L100" s="111" t="n">
        <x:v>84.811</x:v>
      </x:c>
      <x:c r="M100" s="112" t="n">
        <x:v>0.0007812</x:v>
      </x:c>
      <x:c r="N100" s="112" t="n">
        <x:v>1.778e-15</x:v>
      </x:c>
    </x:row>
  </x:sheetData>
  <x:pageMargins left="0.7" right="0.7" top="0.75" bottom="0.75" header="0.3" footer="0.3"/>
  <x:tableParts count="1">
    <x:tablePart xmlns:r="http://schemas.openxmlformats.org/officeDocument/2006/relationships" r:id="R4ad7293aef3b4b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105" t="str">
        <x:v>RecipeID</x:v>
      </x:c>
      <x:c r="B1" s="105" t="str">
        <x:v>CaseIDs</x:v>
      </x:c>
      <x:c r="C1" s="105" t="str">
        <x:v>Lg_um</x:v>
      </x:c>
      <x:c r="D1" s="105" t="str">
        <x:v>LDD_Dose_cm-2</x:v>
      </x:c>
      <x:c r="E1" s="105" t="str">
        <x:v>LDD_Energy_keV</x:v>
      </x:c>
      <x:c r="F1" s="105" t="str">
        <x:v>SD_Dose_cm-2</x:v>
      </x:c>
      <x:c r="G1" s="105" t="str">
        <x:v>SD_Energy_keV</x:v>
      </x:c>
      <x:c r="H1" s="106" t="str">
        <x:v>TCAD_Vth_V</x:v>
      </x:c>
      <x:c r="I1" s="106" t="str">
        <x:v>TCAD_SS_mVdec</x:v>
      </x:c>
      <x:c r="J1" s="106" t="str">
        <x:v>TCAD_Ion_A</x:v>
      </x:c>
      <x:c r="K1" s="106" t="str">
        <x:v>TCAD_Ioff_A</x:v>
      </x:c>
    </x:row>
    <x:row r="2">
      <x:c r="A2" s="31" t="str">
        <x:v>LR001</x:v>
      </x:c>
      <x:c r="B2" s="31" t="str">
        <x:v>L0180-01</x:v>
      </x:c>
      <x:c r="C2" s="35" t="n">
        <x:v>0.18</x:v>
      </x:c>
      <x:c r="D2" s="108" t="n">
        <x:v>512176553741860.2</x:v>
      </x:c>
      <x:c r="E2" s="109" t="n">
        <x:v>19.58891263856012</x:v>
      </x:c>
      <x:c r="F2" s="108" t="n">
        <x:v>544527405649565.25</x:v>
      </x:c>
      <x:c r="G2" s="109" t="n">
        <x:v>12.21995564570213</x:v>
      </x:c>
      <x:c r="H2" s="110" t="n">
        <x:v>0.715</x:v>
      </x:c>
      <x:c r="I2" s="111" t="n">
        <x:v>99.753</x:v>
      </x:c>
      <x:c r="J2" s="112" t="n">
        <x:v>0.0004126</x:v>
      </x:c>
      <x:c r="K2" s="112" t="n">
        <x:v>4.335e-11</x:v>
      </x:c>
    </x:row>
    <x:row r="3">
      <x:c r="A3" s="31" t="str">
        <x:v>LR002</x:v>
      </x:c>
      <x:c r="B3" s="31" t="str">
        <x:v>L0180-02</x:v>
      </x:c>
      <x:c r="C3" s="35" t="n">
        <x:v>0.18</x:v>
      </x:c>
      <x:c r="D3" s="108" t="n">
        <x:v>5266350492917.962</x:v>
      </x:c>
      <x:c r="E3" s="109" t="n">
        <x:v>36.31290754709816</x:v>
      </x:c>
      <x:c r="F3" s="108" t="n">
        <x:v>206015015399111.12</x:v>
      </x:c>
      <x:c r="G3" s="109" t="n">
        <x:v>29.775107685294277</x:v>
      </x:c>
      <x:c r="H3" s="110" t="n">
        <x:v>0.69</x:v>
      </x:c>
      <x:c r="I3" s="111" t="n">
        <x:v>91.024</x:v>
      </x:c>
      <x:c r="J3" s="112" t="n">
        <x:v>0.0003749</x:v>
      </x:c>
      <x:c r="K3" s="112" t="n">
        <x:v>8.278e-12</x:v>
      </x:c>
    </x:row>
    <x:row r="4">
      <x:c r="A4" s="31" t="str">
        <x:v>LR003</x:v>
      </x:c>
      <x:c r="B4" s="31" t="str">
        <x:v>L0180-03</x:v>
      </x:c>
      <x:c r="C4" s="35" t="n">
        <x:v>0.18</x:v>
      </x:c>
      <x:c r="D4" s="108" t="n">
        <x:v>50790735931202.195</x:v>
      </x:c>
      <x:c r="E4" s="109" t="n">
        <x:v>13.60186839085311</x:v>
      </x:c>
      <x:c r="F4" s="108" t="n">
        <x:v>121781485871139.64</x:v>
      </x:c>
      <x:c r="G4" s="109" t="n">
        <x:v>24.499894739621666</x:v>
      </x:c>
      <x:c r="H4" s="110" t="n">
        <x:v>0.747</x:v>
      </x:c>
      <x:c r="I4" s="111" t="n">
        <x:v>92.913</x:v>
      </x:c>
      <x:c r="J4" s="112" t="n">
        <x:v>0.000372</x:v>
      </x:c>
      <x:c r="K4" s="112" t="n">
        <x:v>1.213e-12</x:v>
      </x:c>
    </x:row>
    <x:row r="5">
      <x:c r="A5" s="31" t="str">
        <x:v>LR004</x:v>
      </x:c>
      <x:c r="B5" s="31" t="str">
        <x:v>L0180-04</x:v>
      </x:c>
      <x:c r="C5" s="35" t="n">
        <x:v>0.18</x:v>
      </x:c>
      <x:c r="D5" s="108" t="n">
        <x:v>13275103692587.793</x:v>
      </x:c>
      <x:c r="E5" s="109" t="n">
        <x:v>18.535507319056123</x:v>
      </x:c>
      <x:c r="F5" s="108" t="n">
        <x:v>195096919388454.22</x:v>
      </x:c>
      <x:c r="G5" s="109" t="n">
        <x:v>15.308597949319287</x:v>
      </x:c>
      <x:c r="H5" s="110" t="n">
        <x:v>0.729</x:v>
      </x:c>
      <x:c r="I5" s="111" t="n">
        <x:v>92.357</x:v>
      </x:c>
      <x:c r="J5" s="112" t="n">
        <x:v>0.0003708</x:v>
      </x:c>
      <x:c r="K5" s="112" t="n">
        <x:v>1.399e-12</x:v>
      </x:c>
    </x:row>
    <x:row r="6">
      <x:c r="A6" s="31" t="str">
        <x:v>LR005</x:v>
      </x:c>
      <x:c r="B6" s="31" t="str">
        <x:v>L0180-05, L0180-46</x:v>
      </x:c>
      <x:c r="C6" s="35" t="n">
        <x:v>0.18</x:v>
      </x:c>
      <x:c r="D6" s="108" t="n">
        <x:v>4890596990826.19</x:v>
      </x:c>
      <x:c r="E6" s="109" t="n">
        <x:v>53.1585513160589</x:v>
      </x:c>
      <x:c r="F6" s="108" t="n">
        <x:v>138108399549874.03</x:v>
      </x:c>
      <x:c r="G6" s="109" t="n">
        <x:v>39.62116561753595</x:v>
      </x:c>
      <x:c r="H6" s="110" t="n">
        <x:v>0.645</x:v>
      </x:c>
      <x:c r="I6" s="111" t="n">
        <x:v>92.353</x:v>
      </x:c>
      <x:c r="J6" s="112" t="n">
        <x:v>0.0003762</x:v>
      </x:c>
      <x:c r="K6" s="112" t="n">
        <x:v>5.999e-11</x:v>
      </x:c>
    </x:row>
    <x:row r="7">
      <x:c r="A7" s="31" t="str">
        <x:v>LR006</x:v>
      </x:c>
      <x:c r="B7" s="31" t="str">
        <x:v>L0180-06</x:v>
      </x:c>
      <x:c r="C7" s="35" t="n">
        <x:v>0.18</x:v>
      </x:c>
      <x:c r="D7" s="108" t="n">
        <x:v>27078608503212.88</x:v>
      </x:c>
      <x:c r="E7" s="109" t="n">
        <x:v>39.72951178655809</x:v>
      </x:c>
      <x:c r="F7" s="108" t="n">
        <x:v>163712192127414.56</x:v>
      </x:c>
      <x:c r="G7" s="109" t="n">
        <x:v>25.981324840086277</x:v>
      </x:c>
      <x:c r="H7" s="110" t="n">
        <x:v>0.68</x:v>
      </x:c>
      <x:c r="I7" s="111" t="n">
        <x:v>95.494</x:v>
      </x:c>
      <x:c r="J7" s="112" t="n">
        <x:v>0.00039</x:v>
      </x:c>
      <x:c r="K7" s="112" t="n">
        <x:v>4.568e-11</x:v>
      </x:c>
    </x:row>
    <x:row r="8">
      <x:c r="A8" s="31" t="str">
        <x:v>LR007</x:v>
      </x:c>
      <x:c r="B8" s="31" t="str">
        <x:v>L0180-07</x:v>
      </x:c>
      <x:c r="C8" s="35" t="n">
        <x:v>0.18</x:v>
      </x:c>
      <x:c r="D8" s="108" t="n">
        <x:v>5135632859159.851</x:v>
      </x:c>
      <x:c r="E8" s="109" t="n">
        <x:v>64.15617503765723</x:v>
      </x:c>
      <x:c r="F8" s="108" t="n">
        <x:v>2336394436341189</x:v>
      </x:c>
      <x:c r="G8" s="109" t="n">
        <x:v>15.69093869432829</x:v>
      </x:c>
      <x:c r="H8" s="110" t="n">
        <x:v>0.683</x:v>
      </x:c>
      <x:c r="I8" s="111" t="n">
        <x:v>94.064</x:v>
      </x:c>
      <x:c r="J8" s="112" t="n">
        <x:v>0.0004004</x:v>
      </x:c>
      <x:c r="K8" s="112" t="n">
        <x:v>2.866e-11</x:v>
      </x:c>
    </x:row>
    <x:row r="9">
      <x:c r="A9" s="31" t="str">
        <x:v>LR008</x:v>
      </x:c>
      <x:c r="B9" s="31" t="str">
        <x:v>L0180-08</x:v>
      </x:c>
      <x:c r="C9" s="35" t="n">
        <x:v>0.18</x:v>
      </x:c>
      <x:c r="D9" s="108" t="n">
        <x:v>51408595674970.16</x:v>
      </x:c>
      <x:c r="E9" s="109" t="n">
        <x:v>11.666454782082596</x:v>
      </x:c>
      <x:c r="F9" s="108" t="n">
        <x:v>338984115571283.56</x:v>
      </x:c>
      <x:c r="G9" s="109" t="n">
        <x:v>12.972078975373044</x:v>
      </x:c>
      <x:c r="H9" s="110" t="n">
        <x:v>0.76</x:v>
      </x:c>
      <x:c r="I9" s="111" t="n">
        <x:v>92.276</x:v>
      </x:c>
      <x:c r="J9" s="112" t="n">
        <x:v>0.0003728</x:v>
      </x:c>
      <x:c r="K9" s="112" t="n">
        <x:v>7.709e-13</x:v>
      </x:c>
    </x:row>
    <x:row r="10">
      <x:c r="A10" s="31" t="str">
        <x:v>LR009</x:v>
      </x:c>
      <x:c r="B10" s="31" t="str">
        <x:v>L0180-09, L0180-48</x:v>
      </x:c>
      <x:c r="C10" s="35" t="n">
        <x:v>0.18</x:v>
      </x:c>
      <x:c r="D10" s="108" t="n">
        <x:v>51245214742176.66</x:v>
      </x:c>
      <x:c r="E10" s="109" t="n">
        <x:v>15.537033130376072</x:v>
      </x:c>
      <x:c r="F10" s="108" t="n">
        <x:v>1764937948566377.2</x:v>
      </x:c>
      <x:c r="G10" s="109" t="n">
        <x:v>14.025235956809691</x:v>
      </x:c>
      <x:c r="H10" s="110" t="n">
        <x:v>0.722</x:v>
      </x:c>
      <x:c r="I10" s="111" t="n">
        <x:v>95.041</x:v>
      </x:c>
      <x:c r="J10" s="112" t="n">
        <x:v>0.0003964</x:v>
      </x:c>
      <x:c r="K10" s="112" t="n">
        <x:v>1.006e-11</x:v>
      </x:c>
    </x:row>
    <x:row r="11">
      <x:c r="A11" s="31" t="str">
        <x:v>LR010</x:v>
      </x:c>
      <x:c r="B11" s="31" t="str">
        <x:v>L0180-10</x:v>
      </x:c>
      <x:c r="C11" s="35" t="n">
        <x:v>0.18</x:v>
      </x:c>
      <x:c r="D11" s="108" t="n">
        <x:v>422594690452.4254</x:v>
      </x:c>
      <x:c r="E11" s="109" t="n">
        <x:v>43.314208893136964</x:v>
      </x:c>
      <x:c r="F11" s="108" t="n">
        <x:v>994414593232087.1</x:v>
      </x:c>
      <x:c r="G11" s="109" t="n">
        <x:v>12.196325860112262</x:v>
      </x:c>
      <x:c r="H11" s="110" t="n">
        <x:v>0.768</x:v>
      </x:c>
      <x:c r="I11" s="111" t="n">
        <x:v>87.559</x:v>
      </x:c>
      <x:c r="J11" s="112" t="n">
        <x:v>0.0003529</x:v>
      </x:c>
      <x:c r="K11" s="112" t="n">
        <x:v>9.709e-14</x:v>
      </x:c>
    </x:row>
    <x:row r="12">
      <x:c r="A12" s="31" t="str">
        <x:v>LR011</x:v>
      </x:c>
      <x:c r="B12" s="31" t="str">
        <x:v>L0180-11</x:v>
      </x:c>
      <x:c r="C12" s="35" t="n">
        <x:v>0.18</x:v>
      </x:c>
      <x:c r="D12" s="108" t="n">
        <x:v>507703640855162.75</x:v>
      </x:c>
      <x:c r="E12" s="109" t="n">
        <x:v>14.311417487588905</x:v>
      </x:c>
      <x:c r="F12" s="108" t="n">
        <x:v>107293411306879.36</x:v>
      </x:c>
      <x:c r="G12" s="109" t="n">
        <x:v>39.640674022608025</x:v>
      </x:c>
      <x:c r="H12" s="110" t="n">
        <x:v>0.709</x:v>
      </x:c>
      <x:c r="I12" s="111" t="n">
        <x:v>98.39</x:v>
      </x:c>
      <x:c r="J12" s="112" t="n">
        <x:v>0.0004125</x:v>
      </x:c>
      <x:c r="K12" s="112" t="n">
        <x:v>4.796e-11</x:v>
      </x:c>
    </x:row>
    <x:row r="13">
      <x:c r="A13" s="31" t="str">
        <x:v>LR012</x:v>
      </x:c>
      <x:c r="B13" s="31" t="str">
        <x:v>L0180-12</x:v>
      </x:c>
      <x:c r="C13" s="35" t="n">
        <x:v>0.18</x:v>
      </x:c>
      <x:c r="D13" s="108" t="n">
        <x:v>28953046777906.73</x:v>
      </x:c>
      <x:c r="E13" s="109" t="n">
        <x:v>25.014501098416172</x:v>
      </x:c>
      <x:c r="F13" s="108" t="n">
        <x:v>338195233554654.94</x:v>
      </x:c>
      <x:c r="G13" s="109" t="n">
        <x:v>37.13698864354496</x:v>
      </x:c>
      <x:c r="H13" s="110" t="n">
        <x:v>0.671</x:v>
      </x:c>
      <x:c r="I13" s="111" t="n">
        <x:v>96.624</x:v>
      </x:c>
      <x:c r="J13" s="112" t="n">
        <x:v>0.0004002</x:v>
      </x:c>
      <x:c r="K13" s="112" t="n">
        <x:v>1.011e-10</x:v>
      </x:c>
    </x:row>
    <x:row r="14">
      <x:c r="A14" s="31" t="str">
        <x:v>LR013</x:v>
      </x:c>
      <x:c r="B14" s="31" t="str">
        <x:v>L0180-13</x:v>
      </x:c>
      <x:c r="C14" s="35" t="n">
        <x:v>0.18</x:v>
      </x:c>
      <x:c r="D14" s="108" t="n">
        <x:v>404477628118384.56</x:v>
      </x:c>
      <x:c r="E14" s="109" t="n">
        <x:v>19.033731809438667</x:v>
      </x:c>
      <x:c r="F14" s="108" t="n">
        <x:v>122268380308032.11</x:v>
      </x:c>
      <x:c r="G14" s="109" t="n">
        <x:v>19.681050646032332</x:v>
      </x:c>
      <x:c r="H14" s="110" t="n">
        <x:v>0.721</x:v>
      </x:c>
      <x:c r="I14" s="111" t="n">
        <x:v>97.952</x:v>
      </x:c>
      <x:c r="J14" s="112" t="n">
        <x:v>0.0004053</x:v>
      </x:c>
      <x:c r="K14" s="112" t="n">
        <x:v>2.181e-11</x:v>
      </x:c>
    </x:row>
    <x:row r="15">
      <x:c r="A15" s="31" t="str">
        <x:v>LR014</x:v>
      </x:c>
      <x:c r="B15" s="31" t="str">
        <x:v>L0180-14</x:v>
      </x:c>
      <x:c r="C15" s="35" t="n">
        <x:v>0.18</x:v>
      </x:c>
      <x:c r="D15" s="108" t="n">
        <x:v>552077734008054.94</x:v>
      </x:c>
      <x:c r="E15" s="109" t="n">
        <x:v>14.40918356284601</x:v>
      </x:c>
      <x:c r="F15" s="108" t="n">
        <x:v>531842961531687.3</x:v>
      </x:c>
      <x:c r="G15" s="109" t="n">
        <x:v>11.23329301749399</x:v>
      </x:c>
      <x:c r="H15" s="110" t="n">
        <x:v>0.736</x:v>
      </x:c>
      <x:c r="I15" s="111" t="n">
        <x:v>97.386</x:v>
      </x:c>
      <x:c r="J15" s="112" t="n">
        <x:v>0.0004039</x:v>
      </x:c>
      <x:c r="K15" s="112" t="n">
        <x:v>1.298e-11</x:v>
      </x:c>
    </x:row>
    <x:row r="16">
      <x:c r="A16" s="31" t="str">
        <x:v>LR015</x:v>
      </x:c>
      <x:c r="B16" s="31" t="str">
        <x:v>L0180-15</x:v>
      </x:c>
      <x:c r="C16" s="35" t="n">
        <x:v>0.18</x:v>
      </x:c>
      <x:c r="D16" s="108" t="n">
        <x:v>767449465763825.6</x:v>
      </x:c>
      <x:c r="E16" s="109" t="n">
        <x:v>11.613497735514432</x:v>
      </x:c>
      <x:c r="F16" s="108" t="n">
        <x:v>445536418955410.75</x:v>
      </x:c>
      <x:c r="G16" s="109" t="n">
        <x:v>23.0461671404516</x:v>
      </x:c>
      <x:c r="H16" s="110" t="n">
        <x:v>0.743</x:v>
      </x:c>
      <x:c r="I16" s="111" t="n">
        <x:v>96.153</x:v>
      </x:c>
      <x:c r="J16" s="112" t="n">
        <x:v>0.0003985</x:v>
      </x:c>
      <x:c r="K16" s="112" t="n">
        <x:v>6.38e-12</x:v>
      </x:c>
    </x:row>
    <x:row r="17">
      <x:c r="A17" s="31" t="str">
        <x:v>LR016</x:v>
      </x:c>
      <x:c r="B17" s="31" t="str">
        <x:v>L0180-16</x:v>
      </x:c>
      <x:c r="C17" s="35" t="n">
        <x:v>0.18</x:v>
      </x:c>
      <x:c r="D17" s="108" t="n">
        <x:v>1127843261584.377</x:v>
      </x:c>
      <x:c r="E17" s="109" t="n">
        <x:v>13.423352801307564</x:v>
      </x:c>
      <x:c r="F17" s="108" t="n">
        <x:v>112690507817529.66</x:v>
      </x:c>
      <x:c r="G17" s="109" t="n">
        <x:v>38.08637923876278</x:v>
      </x:c>
      <x:c r="H17" s="110" t="n">
        <x:v>0.7</x:v>
      </x:c>
      <x:c r="I17" s="111" t="n">
        <x:v>87.895</x:v>
      </x:c>
      <x:c r="J17" s="112" t="n">
        <x:v>0.0003512</x:v>
      </x:c>
      <x:c r="K17" s="112" t="n">
        <x:v>1.968e-12</x:v>
      </x:c>
    </x:row>
    <x:row r="18">
      <x:c r="A18" s="31" t="str">
        <x:v>LR017</x:v>
      </x:c>
      <x:c r="B18" s="31" t="str">
        <x:v>L0180-17</x:v>
      </x:c>
      <x:c r="C18" s="35" t="n">
        <x:v>0.18</x:v>
      </x:c>
      <x:c r="D18" s="108" t="n">
        <x:v>283011007804.57117</x:v>
      </x:c>
      <x:c r="E18" s="109" t="n">
        <x:v>66.75522719970722</x:v>
      </x:c>
      <x:c r="F18" s="108" t="n">
        <x:v>165236190399848.22</x:v>
      </x:c>
      <x:c r="G18" s="109" t="n">
        <x:v>37.14547144514081</x:v>
      </x:c>
      <x:c r="H18" s="110" t="n">
        <x:v>0.686</x:v>
      </x:c>
      <x:c r="I18" s="111" t="n">
        <x:v>88.559</x:v>
      </x:c>
      <x:c r="J18" s="112" t="n">
        <x:v>0.0003584</x:v>
      </x:c>
      <x:c r="K18" s="112" t="n">
        <x:v>5.881e-12</x:v>
      </x:c>
    </x:row>
    <x:row r="19">
      <x:c r="A19" s="31" t="str">
        <x:v>LR018</x:v>
      </x:c>
      <x:c r="B19" s="31" t="str">
        <x:v>L0180-18</x:v>
      </x:c>
      <x:c r="C19" s="35" t="n">
        <x:v>0.18</x:v>
      </x:c>
      <x:c r="D19" s="108" t="n">
        <x:v>50257961976466.23</x:v>
      </x:c>
      <x:c r="E19" s="109" t="n">
        <x:v>21.2299175831166</x:v>
      </x:c>
      <x:c r="F19" s="108" t="n">
        <x:v>2134769766829635.2</x:v>
      </x:c>
      <x:c r="G19" s="109" t="n">
        <x:v>20.812970512488345</x:v>
      </x:c>
      <x:c r="H19" s="110" t="n">
        <x:v>0.665</x:v>
      </x:c>
      <x:c r="I19" s="111" t="n">
        <x:v>101.425</x:v>
      </x:c>
      <x:c r="J19" s="112" t="n">
        <x:v>0.0004221</x:v>
      </x:c>
      <x:c r="K19" s="112" t="n">
        <x:v>6.525e-10</x:v>
      </x:c>
    </x:row>
    <x:row r="20">
      <x:c r="A20" s="31" t="str">
        <x:v>LR019</x:v>
      </x:c>
      <x:c r="B20" s="31" t="str">
        <x:v>L0180-19</x:v>
      </x:c>
      <x:c r="C20" s="35" t="n">
        <x:v>0.18</x:v>
      </x:c>
      <x:c r="D20" s="108" t="n">
        <x:v>51799535997591.04</x:v>
      </x:c>
      <x:c r="E20" s="109" t="n">
        <x:v>11.343865781303322</x:v>
      </x:c>
      <x:c r="F20" s="108" t="n">
        <x:v>4642760652629327</x:v>
      </x:c>
      <x:c r="G20" s="109" t="n">
        <x:v>23.95188741871351</x:v>
      </x:c>
      <x:c r="H20" s="110" t="n">
        <x:v>0.65</x:v>
      </x:c>
      <x:c r="I20" s="111" t="n">
        <x:v>105.098</x:v>
      </x:c>
      <x:c r="J20" s="112" t="n">
        <x:v>0.0004316</x:v>
      </x:c>
      <x:c r="K20" s="112" t="n">
        <x:v>2.619e-9</x:v>
      </x:c>
    </x:row>
    <x:row r="21">
      <x:c r="A21" s="31" t="str">
        <x:v>LR020</x:v>
      </x:c>
      <x:c r="B21" s="31" t="str">
        <x:v>L0180-20</x:v>
      </x:c>
      <x:c r="C21" s="35" t="n">
        <x:v>0.18</x:v>
      </x:c>
      <x:c r="D21" s="108" t="n">
        <x:v>905997143549.6433</x:v>
      </x:c>
      <x:c r="E21" s="109" t="n">
        <x:v>53.70969389123046</x:v>
      </x:c>
      <x:c r="F21" s="108" t="n">
        <x:v>491542498757935.75</x:v>
      </x:c>
      <x:c r="G21" s="109" t="n">
        <x:v>27.80550962071296</x:v>
      </x:c>
      <x:c r="H21" s="110" t="n">
        <x:v>0.673</x:v>
      </x:c>
      <x:c r="I21" s="111" t="n">
        <x:v>93.345</x:v>
      </x:c>
      <x:c r="J21" s="112" t="n">
        <x:v>0.0003905</x:v>
      </x:c>
      <x:c r="K21" s="112" t="n">
        <x:v>5.422e-11</x:v>
      </x:c>
    </x:row>
    <x:row r="22">
      <x:c r="A22" s="31" t="str">
        <x:v>LR021</x:v>
      </x:c>
      <x:c r="B22" s="31" t="str">
        <x:v>L0180-21, L0180-37</x:v>
      </x:c>
      <x:c r="C22" s="35" t="n">
        <x:v>0.18</x:v>
      </x:c>
      <x:c r="D22" s="108" t="n">
        <x:v>5325638301760.56</x:v>
      </x:c>
      <x:c r="E22" s="109" t="n">
        <x:v>61.4497807089855</x:v>
      </x:c>
      <x:c r="F22" s="108" t="n">
        <x:v>2308095297383046</x:v>
      </x:c>
      <x:c r="G22" s="109" t="n">
        <x:v>11.82130211078234</x:v>
      </x:c>
      <x:c r="H22" s="110" t="n">
        <x:v>0.691</x:v>
      </x:c>
      <x:c r="I22" s="111" t="n">
        <x:v>92.845</x:v>
      </x:c>
      <x:c r="J22" s="112" t="n">
        <x:v>0.0003955</x:v>
      </x:c>
      <x:c r="K22" s="112" t="n">
        <x:v>1.292e-11</x:v>
      </x:c>
    </x:row>
    <x:row r="23">
      <x:c r="A23" s="31" t="str">
        <x:v>LR022</x:v>
      </x:c>
      <x:c r="B23" s="31" t="str">
        <x:v>L0180-22</x:v>
      </x:c>
      <x:c r="C23" s="35" t="n">
        <x:v>0.18</x:v>
      </x:c>
      <x:c r="D23" s="108" t="n">
        <x:v>876257276701871.4</x:v>
      </x:c>
      <x:c r="E23" s="109" t="n">
        <x:v>10.537189880082805</x:v>
      </x:c>
      <x:c r="F23" s="108" t="n">
        <x:v>5482793718434988</x:v>
      </x:c>
      <x:c r="G23" s="109" t="n">
        <x:v>10.634973397669402</x:v>
      </x:c>
      <x:c r="H23" s="110" t="n">
        <x:v>0.74</x:v>
      </x:c>
      <x:c r="I23" s="111" t="n">
        <x:v>96.65</x:v>
      </x:c>
      <x:c r="J23" s="112" t="n">
        <x:v>0.0004028</x:v>
      </x:c>
      <x:c r="K23" s="112" t="n">
        <x:v>9.542e-12</x:v>
      </x:c>
    </x:row>
    <x:row r="24">
      <x:c r="A24" s="31" t="str">
        <x:v>LR023</x:v>
      </x:c>
      <x:c r="B24" s="31" t="str">
        <x:v>L0180-23</x:v>
      </x:c>
      <x:c r="C24" s="35" t="n">
        <x:v>0.18</x:v>
      </x:c>
      <x:c r="D24" s="108" t="n">
        <x:v>670242787044.1863</x:v>
      </x:c>
      <x:c r="E24" s="109" t="n">
        <x:v>38.95991633863636</x:v>
      </x:c>
      <x:c r="F24" s="108" t="n">
        <x:v>531630402867753.2</x:v>
      </x:c>
      <x:c r="G24" s="109" t="n">
        <x:v>27.840431185534523</x:v>
      </x:c>
      <x:c r="H24" s="110" t="n">
        <x:v>0.669</x:v>
      </x:c>
      <x:c r="I24" s="111" t="n">
        <x:v>94.461</x:v>
      </x:c>
      <x:c r="J24" s="112" t="n">
        <x:v>0.0003946</x:v>
      </x:c>
      <x:c r="K24" s="112" t="n">
        <x:v>9.609e-11</x:v>
      </x:c>
    </x:row>
    <x:row r="25">
      <x:c r="A25" s="31" t="str">
        <x:v>LR024</x:v>
      </x:c>
      <x:c r="B25" s="31" t="str">
        <x:v>L0180-24</x:v>
      </x:c>
      <x:c r="C25" s="35" t="n">
        <x:v>0.18</x:v>
      </x:c>
      <x:c r="D25" s="108" t="n">
        <x:v>316558508201035.8</x:v>
      </x:c>
      <x:c r="E25" s="109" t="n">
        <x:v>13.791333020899138</x:v>
      </x:c>
      <x:c r="F25" s="108" t="n">
        <x:v>344284428321302.5</x:v>
      </x:c>
      <x:c r="G25" s="109" t="n">
        <x:v>17.780599241145396</x:v>
      </x:c>
      <x:c r="H25" s="110" t="n">
        <x:v>0.748</x:v>
      </x:c>
      <x:c r="I25" s="111" t="n">
        <x:v>95.556</x:v>
      </x:c>
      <x:c r="J25" s="112" t="n">
        <x:v>0.000393</x:v>
      </x:c>
      <x:c r="K25" s="112" t="n">
        <x:v>4.32e-12</x:v>
      </x:c>
    </x:row>
    <x:row r="26">
      <x:c r="A26" s="31" t="str">
        <x:v>LR025</x:v>
      </x:c>
      <x:c r="B26" s="31" t="str">
        <x:v>L0180-25, L0180-32</x:v>
      </x:c>
      <x:c r="C26" s="35" t="n">
        <x:v>0.18</x:v>
      </x:c>
      <x:c r="D26" s="108" t="n">
        <x:v>5106875543521.052</x:v>
      </x:c>
      <x:c r="E26" s="109" t="n">
        <x:v>62.11021454269449</x:v>
      </x:c>
      <x:c r="F26" s="108" t="n">
        <x:v>569161264710163.9</x:v>
      </x:c>
      <x:c r="G26" s="109" t="n">
        <x:v>20.272474991297024</x:v>
      </x:c>
      <x:c r="H26" s="110" t="n">
        <x:v>0.68</x:v>
      </x:c>
      <x:c r="I26" s="111" t="n">
        <x:v>90.485</x:v>
      </x:c>
      <x:c r="J26" s="112" t="n">
        <x:v>0.0003823</x:v>
      </x:c>
      <x:c r="K26" s="112" t="n">
        <x:v>8.005e-12</x:v>
      </x:c>
    </x:row>
    <x:row r="27">
      <x:c r="A27" s="31" t="str">
        <x:v>LR026</x:v>
      </x:c>
      <x:c r="B27" s="31" t="str">
        <x:v>L0180-26</x:v>
      </x:c>
      <x:c r="C27" s="35" t="n">
        <x:v>0.18</x:v>
      </x:c>
      <x:c r="D27" s="108" t="n">
        <x:v>53588334374411.78</x:v>
      </x:c>
      <x:c r="E27" s="109" t="n">
        <x:v>11.22588417061313</x:v>
      </x:c>
      <x:c r="F27" s="108" t="n">
        <x:v>442337981613852.06</x:v>
      </x:c>
      <x:c r="G27" s="109" t="n">
        <x:v>25.481143155556662</x:v>
      </x:c>
      <x:c r="H27" s="110" t="n">
        <x:v>0.726</x:v>
      </x:c>
      <x:c r="I27" s="111" t="n">
        <x:v>93.559</x:v>
      </x:c>
      <x:c r="J27" s="112" t="n">
        <x:v>0.0003883</x:v>
      </x:c>
      <x:c r="K27" s="112" t="n">
        <x:v>5.669e-12</x:v>
      </x:c>
    </x:row>
    <x:row r="28">
      <x:c r="A28" s="31" t="str">
        <x:v>LR027</x:v>
      </x:c>
      <x:c r="B28" s="31" t="str">
        <x:v>L0180-27</x:v>
      </x:c>
      <x:c r="C28" s="35" t="n">
        <x:v>0.18</x:v>
      </x:c>
      <x:c r="D28" s="108" t="n">
        <x:v>51414156756203.11</x:v>
      </x:c>
      <x:c r="E28" s="109" t="n">
        <x:v>29.323318022740658</x:v>
      </x:c>
      <x:c r="F28" s="108" t="n">
        <x:v>4553201305265116</x:v>
      </x:c>
      <x:c r="G28" s="109" t="n">
        <x:v>10.32136300581547</x:v>
      </x:c>
      <x:c r="H28" s="110" t="n">
        <x:v>0.708</x:v>
      </x:c>
      <x:c r="I28" s="111" t="n">
        <x:v>95.788</x:v>
      </x:c>
      <x:c r="J28" s="112" t="n">
        <x:v>0.0004004</x:v>
      </x:c>
      <x:c r="K28" s="112" t="n">
        <x:v>1.788e-11</x:v>
      </x:c>
    </x:row>
    <x:row r="29">
      <x:c r="A29" s="31" t="str">
        <x:v>LR028</x:v>
      </x:c>
      <x:c r="B29" s="31" t="str">
        <x:v>L0180-28</x:v>
      </x:c>
      <x:c r="C29" s="35" t="n">
        <x:v>0.18</x:v>
      </x:c>
      <x:c r="D29" s="108" t="n">
        <x:v>18166504135511.6</x:v>
      </x:c>
      <x:c r="E29" s="109" t="n">
        <x:v>13.167613177091159</x:v>
      </x:c>
      <x:c r="F29" s="108" t="n">
        <x:v>106466435445850.45</x:v>
      </x:c>
      <x:c r="G29" s="109" t="n">
        <x:v>24.83531923169365</x:v>
      </x:c>
      <x:c r="H29" s="110" t="n">
        <x:v>0.727</x:v>
      </x:c>
      <x:c r="I29" s="111" t="n">
        <x:v>92.667</x:v>
      </x:c>
      <x:c r="J29" s="112" t="n">
        <x:v>0.0003701</x:v>
      </x:c>
      <x:c r="K29" s="112" t="n">
        <x:v>2.144e-12</x:v>
      </x:c>
    </x:row>
    <x:row r="30">
      <x:c r="A30" s="31" t="str">
        <x:v>LR029</x:v>
      </x:c>
      <x:c r="B30" s="31" t="str">
        <x:v>L0180-29</x:v>
      </x:c>
      <x:c r="C30" s="35" t="n">
        <x:v>0.18</x:v>
      </x:c>
      <x:c r="D30" s="108" t="n">
        <x:v>7938150672689.898</x:v>
      </x:c>
      <x:c r="E30" s="109" t="n">
        <x:v>36.504648485260454</x:v>
      </x:c>
      <x:c r="F30" s="108" t="n">
        <x:v>158788607669390.28</x:v>
      </x:c>
      <x:c r="G30" s="109" t="n">
        <x:v>16.13361217954593</x:v>
      </x:c>
      <x:c r="H30" s="110" t="n">
        <x:v>0.7</x:v>
      </x:c>
      <x:c r="I30" s="111" t="n">
        <x:v>90.697</x:v>
      </x:c>
      <x:c r="J30" s="112" t="n">
        <x:v>0.0003696</x:v>
      </x:c>
      <x:c r="K30" s="112" t="n">
        <x:v>2.046e-12</x:v>
      </x:c>
    </x:row>
    <x:row r="31">
      <x:c r="A31" s="31" t="str">
        <x:v>LR030</x:v>
      </x:c>
      <x:c r="B31" s="31" t="str">
        <x:v>L0180-30</x:v>
      </x:c>
      <x:c r="C31" s="35" t="n">
        <x:v>0.18</x:v>
      </x:c>
      <x:c r="D31" s="108" t="n">
        <x:v>517510321028144</x:v>
      </x:c>
      <x:c r="E31" s="109" t="n">
        <x:v>13.152069189933009</x:v>
      </x:c>
      <x:c r="F31" s="108" t="n">
        <x:v>135576193540955.19</x:v>
      </x:c>
      <x:c r="G31" s="109" t="n">
        <x:v>24.846325836281565</x:v>
      </x:c>
      <x:c r="H31" s="110" t="n">
        <x:v>0.745</x:v>
      </x:c>
      <x:c r="I31" s="111" t="n">
        <x:v>96.127</x:v>
      </x:c>
      <x:c r="J31" s="112" t="n">
        <x:v>0.0003965</x:v>
      </x:c>
      <x:c r="K31" s="112" t="n">
        <x:v>5.933e-12</x:v>
      </x:c>
    </x:row>
    <x:row r="32">
      <x:c r="A32" s="31" t="str">
        <x:v>LR031</x:v>
      </x:c>
      <x:c r="B32" s="31" t="str">
        <x:v>L0180-31</x:v>
      </x:c>
      <x:c r="C32" s="35" t="n">
        <x:v>0.18</x:v>
      </x:c>
      <x:c r="D32" s="108" t="n">
        <x:v>53593571490243.15</x:v>
      </x:c>
      <x:c r="E32" s="109" t="n">
        <x:v>14.31754387506533</x:v>
      </x:c>
      <x:c r="F32" s="108" t="n">
        <x:v>123545298841137.97</x:v>
      </x:c>
      <x:c r="G32" s="109" t="n">
        <x:v>34.69844322116498</x:v>
      </x:c>
      <x:c r="H32" s="110" t="n">
        <x:v>0.712</x:v>
      </x:c>
      <x:c r="I32" s="111" t="n">
        <x:v>94.17</x:v>
      </x:c>
      <x:c r="J32" s="112" t="n">
        <x:v>0.0003869</x:v>
      </x:c>
      <x:c r="K32" s="112" t="n">
        <x:v>9.645e-12</x:v>
      </x:c>
    </x:row>
    <x:row r="33">
      <x:c r="A33" s="31" t="str">
        <x:v>LR032</x:v>
      </x:c>
      <x:c r="B33" s="31" t="str">
        <x:v>L0180-33</x:v>
      </x:c>
      <x:c r="C33" s="35" t="n">
        <x:v>0.18</x:v>
      </x:c>
      <x:c r="D33" s="108" t="n">
        <x:v>53277459515696.41</x:v>
      </x:c>
      <x:c r="E33" s="109" t="n">
        <x:v>23.024379241245505</x:v>
      </x:c>
      <x:c r="F33" s="108" t="n">
        <x:v>309265794368803.25</x:v>
      </x:c>
      <x:c r="G33" s="109" t="n">
        <x:v>18.21600074751</x:v>
      </x:c>
      <x:c r="H33" s="110" t="n">
        <x:v>0.719</x:v>
      </x:c>
      <x:c r="I33" s="111" t="n">
        <x:v>94.866</x:v>
      </x:c>
      <x:c r="J33" s="112" t="n">
        <x:v>0.000388</x:v>
      </x:c>
      <x:c r="K33" s="112" t="n">
        <x:v>6.679e-12</x:v>
      </x:c>
    </x:row>
    <x:row r="34">
      <x:c r="A34" s="31" t="str">
        <x:v>LR033</x:v>
      </x:c>
      <x:c r="B34" s="31" t="str">
        <x:v>L0180-34</x:v>
      </x:c>
      <x:c r="C34" s="35" t="n">
        <x:v>0.18</x:v>
      </x:c>
      <x:c r="D34" s="108" t="n">
        <x:v>522793496823672.4</x:v>
      </x:c>
      <x:c r="E34" s="109" t="n">
        <x:v>20.878255441302137</x:v>
      </x:c>
      <x:c r="F34" s="108" t="n">
        <x:v>1019749379310755</x:v>
      </x:c>
      <x:c r="G34" s="109" t="n">
        <x:v>12.696069674046145</x:v>
      </x:c>
      <x:c r="H34" s="110" t="n">
        <x:v>0.71</x:v>
      </x:c>
      <x:c r="I34" s="111" t="n">
        <x:v>99.865</x:v>
      </x:c>
      <x:c r="J34" s="112" t="n">
        <x:v>0.0004145</x:v>
      </x:c>
      <x:c r="K34" s="112" t="n">
        <x:v>5.644e-11</x:v>
      </x:c>
    </x:row>
    <x:row r="35">
      <x:c r="A35" s="31" t="str">
        <x:v>LR034</x:v>
      </x:c>
      <x:c r="B35" s="31" t="str">
        <x:v>L0180-35</x:v>
      </x:c>
      <x:c r="C35" s="35" t="n">
        <x:v>0.18</x:v>
      </x:c>
      <x:c r="D35" s="108" t="n">
        <x:v>6806671312459.498</x:v>
      </x:c>
      <x:c r="E35" s="109" t="n">
        <x:v>53.87005334543433</x:v>
      </x:c>
      <x:c r="F35" s="108" t="n">
        <x:v>273210297417527.34</x:v>
      </x:c>
      <x:c r="G35" s="109" t="n">
        <x:v>18.12436448400135</x:v>
      </x:c>
      <x:c r="H35" s="110" t="n">
        <x:v>0.682</x:v>
      </x:c>
      <x:c r="I35" s="111" t="n">
        <x:v>90.27</x:v>
      </x:c>
      <x:c r="J35" s="112" t="n">
        <x:v>0.0003762</x:v>
      </x:c>
      <x:c r="K35" s="112" t="n">
        <x:v>5.273e-12</x:v>
      </x:c>
    </x:row>
    <x:row r="36">
      <x:c r="A36" s="31" t="str">
        <x:v>LR035</x:v>
      </x:c>
      <x:c r="B36" s="31" t="str">
        <x:v>L0180-36</x:v>
      </x:c>
      <x:c r="C36" s="35" t="n">
        <x:v>0.18</x:v>
      </x:c>
      <x:c r="D36" s="108" t="n">
        <x:v>22830220042561.914</x:v>
      </x:c>
      <x:c r="E36" s="109" t="n">
        <x:v>17.99694986398473</x:v>
      </x:c>
      <x:c r="F36" s="108" t="n">
        <x:v>100846265888351.38</x:v>
      </x:c>
      <x:c r="G36" s="109" t="n">
        <x:v>22.91658212861722</x:v>
      </x:c>
      <x:c r="H36" s="110" t="n">
        <x:v>0.728</x:v>
      </x:c>
      <x:c r="I36" s="111" t="n">
        <x:v>91.576</x:v>
      </x:c>
      <x:c r="J36" s="112" t="n">
        <x:v>0.0003684</x:v>
      </x:c>
      <x:c r="K36" s="112" t="n">
        <x:v>1.709e-12</x:v>
      </x:c>
    </x:row>
    <x:row r="37">
      <x:c r="A37" s="31" t="str">
        <x:v>LR036</x:v>
      </x:c>
      <x:c r="B37" s="31" t="str">
        <x:v>L0180-38</x:v>
      </x:c>
      <x:c r="C37" s="35" t="n">
        <x:v>0.18</x:v>
      </x:c>
      <x:c r="D37" s="108" t="n">
        <x:v>510336038312698.2</x:v>
      </x:c>
      <x:c r="E37" s="109" t="n">
        <x:v>15.24267174468364</x:v>
      </x:c>
      <x:c r="F37" s="108" t="n">
        <x:v>4608669388897236</x:v>
      </x:c>
      <x:c r="G37" s="109" t="n">
        <x:v>11.997004760059216</x:v>
      </x:c>
      <x:c r="H37" s="110" t="n">
        <x:v>0.703</x:v>
      </x:c>
      <x:c r="I37" s="111" t="n">
        <x:v>100.548</x:v>
      </x:c>
      <x:c r="J37" s="112" t="n">
        <x:v>0.0004204</x:v>
      </x:c>
      <x:c r="K37" s="112" t="n">
        <x:v>1.14e-10</x:v>
      </x:c>
    </x:row>
    <x:row r="38">
      <x:c r="A38" s="31" t="str">
        <x:v>LR037</x:v>
      </x:c>
      <x:c r="B38" s="31" t="str">
        <x:v>L0180-39</x:v>
      </x:c>
      <x:c r="C38" s="35" t="n">
        <x:v>0.18</x:v>
      </x:c>
      <x:c r="D38" s="108" t="n">
        <x:v>519286697586072.2</x:v>
      </x:c>
      <x:c r="E38" s="109" t="n">
        <x:v>14.838876923313745</x:v>
      </x:c>
      <x:c r="F38" s="108" t="n">
        <x:v>110302846131184.62</x:v>
      </x:c>
      <x:c r="G38" s="109" t="n">
        <x:v>31.325479563274207</x:v>
      </x:c>
      <x:c r="H38" s="110" t="n">
        <x:v>0.73</x:v>
      </x:c>
      <x:c r="I38" s="111" t="n">
        <x:v>97.351</x:v>
      </x:c>
      <x:c r="J38" s="112" t="n">
        <x:v>0.0004044</x:v>
      </x:c>
      <x:c r="K38" s="112" t="n">
        <x:v>1.644e-11</x:v>
      </x:c>
    </x:row>
    <x:row r="39">
      <x:c r="A39" s="31" t="str">
        <x:v>LR038</x:v>
      </x:c>
      <x:c r="B39" s="31" t="str">
        <x:v>L0180-40</x:v>
      </x:c>
      <x:c r="C39" s="35" t="n">
        <x:v>0.18</x:v>
      </x:c>
      <x:c r="D39" s="108" t="n">
        <x:v>3792544265630.4556</x:v>
      </x:c>
      <x:c r="E39" s="109" t="n">
        <x:v>14.14028624029399</x:v>
      </x:c>
      <x:c r="F39" s="108" t="n">
        <x:v>366310127318844.94</x:v>
      </x:c>
      <x:c r="G39" s="109" t="n">
        <x:v>34.04414085926969</x:v>
      </x:c>
      <x:c r="H39" s="110" t="n">
        <x:v>0.68</x:v>
      </x:c>
      <x:c r="I39" s="111" t="n">
        <x:v>92.608</x:v>
      </x:c>
      <x:c r="J39" s="112" t="n">
        <x:v>0.0003855</x:v>
      </x:c>
      <x:c r="K39" s="112" t="n">
        <x:v>2.982e-11</x:v>
      </x:c>
    </x:row>
    <x:row r="40">
      <x:c r="A40" s="31" t="str">
        <x:v>LR039</x:v>
      </x:c>
      <x:c r="B40" s="31" t="str">
        <x:v>L0180-41</x:v>
      </x:c>
      <x:c r="C40" s="35" t="n">
        <x:v>0.18</x:v>
      </x:c>
      <x:c r="D40" s="108" t="n">
        <x:v>54153631204814.51</x:v>
      </x:c>
      <x:c r="E40" s="109" t="n">
        <x:v>12.170231348148473</x:v>
      </x:c>
      <x:c r="F40" s="108" t="n">
        <x:v>275236027805139.22</x:v>
      </x:c>
      <x:c r="G40" s="109" t="n">
        <x:v>29.803907544667616</x:v>
      </x:c>
      <x:c r="H40" s="110" t="n">
        <x:v>0.725</x:v>
      </x:c>
      <x:c r="I40" s="111" t="n">
        <x:v>93.565</x:v>
      </x:c>
      <x:c r="J40" s="112" t="n">
        <x:v>0.0003865</x:v>
      </x:c>
      <x:c r="K40" s="112" t="n">
        <x:v>5.562e-12</x:v>
      </x:c>
    </x:row>
    <x:row r="41">
      <x:c r="A41" s="31" t="str">
        <x:v>LR040</x:v>
      </x:c>
      <x:c r="B41" s="31" t="str">
        <x:v>L0180-42</x:v>
      </x:c>
      <x:c r="C41" s="35" t="n">
        <x:v>0.18</x:v>
      </x:c>
      <x:c r="D41" s="108" t="n">
        <x:v>184734802116.79913</x:v>
      </x:c>
      <x:c r="E41" s="109" t="n">
        <x:v>61.58756598125124</x:v>
      </x:c>
      <x:c r="F41" s="108" t="n">
        <x:v>4657161098340066</x:v>
      </x:c>
      <x:c r="G41" s="109" t="n">
        <x:v>11.105231126517213</x:v>
      </x:c>
      <x:c r="H41" s="110" t="n">
        <x:v>0.725</x:v>
      </x:c>
      <x:c r="I41" s="111" t="n">
        <x:v>93.649</x:v>
      </x:c>
      <x:c r="J41" s="112" t="n">
        <x:v>0.0003921</x:v>
      </x:c>
      <x:c r="K41" s="112" t="n">
        <x:v>6.195e-12</x:v>
      </x:c>
    </x:row>
    <x:row r="42">
      <x:c r="A42" s="31" t="str">
        <x:v>LR041</x:v>
      </x:c>
      <x:c r="B42" s="31" t="str">
        <x:v>L0180-43</x:v>
      </x:c>
      <x:c r="C42" s="35" t="n">
        <x:v>0.18</x:v>
      </x:c>
      <x:c r="D42" s="108" t="n">
        <x:v>15159645800869.287</x:v>
      </x:c>
      <x:c r="E42" s="109" t="n">
        <x:v>38.284529961857174</x:v>
      </x:c>
      <x:c r="F42" s="108" t="n">
        <x:v>313163017737984</x:v>
      </x:c>
      <x:c r="G42" s="109" t="n">
        <x:v>17.733966773620583</x:v>
      </x:c>
      <x:c r="H42" s="110" t="n">
        <x:v>0.677</x:v>
      </x:c>
      <x:c r="I42" s="111" t="n">
        <x:v>95.547</x:v>
      </x:c>
      <x:c r="J42" s="112" t="n">
        <x:v>0.0003939</x:v>
      </x:c>
      <x:c r="K42" s="112" t="n">
        <x:v>3.002e-11</x:v>
      </x:c>
    </x:row>
    <x:row r="43">
      <x:c r="A43" s="31" t="str">
        <x:v>LR042</x:v>
      </x:c>
      <x:c r="B43" s="31" t="str">
        <x:v>L0180-44</x:v>
      </x:c>
      <x:c r="C43" s="35" t="n">
        <x:v>0.18</x:v>
      </x:c>
      <x:c r="D43" s="108" t="n">
        <x:v>529850260355133.6</x:v>
      </x:c>
      <x:c r="E43" s="109" t="n">
        <x:v>22.615956687678885</x:v>
      </x:c>
      <x:c r="F43" s="108" t="n">
        <x:v>2011767614182086.2</x:v>
      </x:c>
      <x:c r="G43" s="109" t="n">
        <x:v>12.150518018945112</x:v>
      </x:c>
      <x:c r="H43" s="110" t="n">
        <x:v>0.701</x:v>
      </x:c>
      <x:c r="I43" s="111" t="n">
        <x:v>100.835</x:v>
      </x:c>
      <x:c r="J43" s="112" t="n">
        <x:v>0.0004192</x:v>
      </x:c>
      <x:c r="K43" s="112" t="n">
        <x:v>1.083e-10</x:v>
      </x:c>
    </x:row>
    <x:row r="44">
      <x:c r="A44" s="31" t="str">
        <x:v>LR043</x:v>
      </x:c>
      <x:c r="B44" s="31" t="str">
        <x:v>L0180-45</x:v>
      </x:c>
      <x:c r="C44" s="35" t="n">
        <x:v>0.18</x:v>
      </x:c>
      <x:c r="D44" s="108" t="n">
        <x:v>1249197102721.89</x:v>
      </x:c>
      <x:c r="E44" s="109" t="n">
        <x:v>41.79580247943934</x:v>
      </x:c>
      <x:c r="F44" s="108" t="n">
        <x:v>1403805878670328.5</x:v>
      </x:c>
      <x:c r="G44" s="109" t="n">
        <x:v>21.39690915760947</x:v>
      </x:c>
      <x:c r="H44" s="110" t="n">
        <x:v>0.667</x:v>
      </x:c>
      <x:c r="I44" s="111" t="n">
        <x:v>98.316</x:v>
      </x:c>
      <x:c r="J44" s="112" t="n">
        <x:v>0.0004113</x:v>
      </x:c>
      <x:c r="K44" s="112" t="n">
        <x:v>2.867e-10</x:v>
      </x:c>
    </x:row>
    <x:row r="45">
      <x:c r="A45" s="31" t="str">
        <x:v>LR044</x:v>
      </x:c>
      <x:c r="B45" s="31" t="str">
        <x:v>L0180-47</x:v>
      </x:c>
      <x:c r="C45" s="35" t="n">
        <x:v>0.18</x:v>
      </x:c>
      <x:c r="D45" s="108" t="n">
        <x:v>147585328289.31082</x:v>
      </x:c>
      <x:c r="E45" s="109" t="n">
        <x:v>23.00827841673324</x:v>
      </x:c>
      <x:c r="F45" s="108" t="n">
        <x:v>1621717768316601.8</x:v>
      </x:c>
      <x:c r="G45" s="109" t="n">
        <x:v>12.087125733060969</x:v>
      </x:c>
      <x:c r="H45" s="110" t="n">
        <x:v>0.758</x:v>
      </x:c>
      <x:c r="I45" s="111" t="n">
        <x:v>89.434</x:v>
      </x:c>
      <x:c r="J45" s="112" t="n">
        <x:v>0.0003657</x:v>
      </x:c>
      <x:c r="K45" s="112" t="n">
        <x:v>3.374e-13</x:v>
      </x:c>
    </x:row>
    <x:row r="46">
      <x:c r="A46" s="31" t="str">
        <x:v>LR045</x:v>
      </x:c>
      <x:c r="B46" s="31" t="str">
        <x:v>L0180-49</x:v>
      </x:c>
      <x:c r="C46" s="35" t="n">
        <x:v>0.18</x:v>
      </x:c>
      <x:c r="D46" s="108" t="n">
        <x:v>519012717116164.6</x:v>
      </x:c>
      <x:c r="E46" s="109" t="n">
        <x:v>17.809756497439324</x:v>
      </x:c>
      <x:c r="F46" s="108" t="n">
        <x:v>153300212776823.5</x:v>
      </x:c>
      <x:c r="G46" s="109" t="n">
        <x:v>24.242816563454</x:v>
      </x:c>
      <x:c r="H46" s="110" t="n">
        <x:v>0.719</x:v>
      </x:c>
      <x:c r="I46" s="111" t="n">
        <x:v>99.259</x:v>
      </x:c>
      <x:c r="J46" s="112" t="n">
        <x:v>0.0004106</x:v>
      </x:c>
      <x:c r="K46" s="112" t="n">
        <x:v>3.489e-11</x:v>
      </x:c>
    </x:row>
    <x:row r="47">
      <x:c r="A47" s="31" t="str">
        <x:v>LR046</x:v>
      </x:c>
      <x:c r="B47" s="31" t="str">
        <x:v>L0180-50</x:v>
      </x:c>
      <x:c r="C47" s="35" t="n">
        <x:v>0.18</x:v>
      </x:c>
      <x:c r="D47" s="108" t="n">
        <x:v>435675204989.04584</x:v>
      </x:c>
      <x:c r="E47" s="109" t="n">
        <x:v>43.54135938418011</x:v>
      </x:c>
      <x:c r="F47" s="108" t="n">
        <x:v>4541480625846762</x:v>
      </x:c>
      <x:c r="G47" s="109" t="n">
        <x:v>17.311342671938498</x:v>
      </x:c>
      <x:c r="H47" s="110" t="n">
        <x:v>0.68</x:v>
      </x:c>
      <x:c r="I47" s="111" t="n">
        <x:v>98.08</x:v>
      </x:c>
      <x:c r="J47" s="112" t="n">
        <x:v>0.000413</x:v>
      </x:c>
      <x:c r="K47" s="112" t="n">
        <x:v>1.831e-10</x:v>
      </x:c>
    </x:row>
    <x:row r="48">
      <x:c r="A48" s="31" t="str">
        <x:v>LR047</x:v>
      </x:c>
      <x:c r="B48" s="31" t="str">
        <x:v>L0360-01</x:v>
      </x:c>
      <x:c r="C48" s="35" t="n">
        <x:v>0.36</x:v>
      </x:c>
      <x:c r="D48" s="108" t="n">
        <x:v>5734907170320.677</x:v>
      </x:c>
      <x:c r="E48" s="109" t="n">
        <x:v>51.989959635069845</x:v>
      </x:c>
      <x:c r="F48" s="108" t="n">
        <x:v>7020640732553696</x:v>
      </x:c>
      <x:c r="G48" s="109" t="n">
        <x:v>23.27492531436406</x:v>
      </x:c>
      <x:c r="H48" s="110" t="n">
        <x:v>0.831</x:v>
      </x:c>
      <x:c r="I48" s="111" t="n">
        <x:v>84.221</x:v>
      </x:c>
      <x:c r="J48" s="112" t="n">
        <x:v>0.0002671</x:v>
      </x:c>
      <x:c r="K48" s="112" t="n">
        <x:v>4.855e-16</x:v>
      </x:c>
    </x:row>
    <x:row r="49">
      <x:c r="A49" s="31" t="str">
        <x:v>LR048</x:v>
      </x:c>
      <x:c r="B49" s="31" t="str">
        <x:v>L0360-02</x:v>
      </x:c>
      <x:c r="C49" s="35" t="n">
        <x:v>0.36</x:v>
      </x:c>
      <x:c r="D49" s="108" t="n">
        <x:v>147250342470.64697</x:v>
      </x:c>
      <x:c r="E49" s="109" t="n">
        <x:v>61.94720933588978</x:v>
      </x:c>
      <x:c r="F49" s="108" t="n">
        <x:v>13814652665089302</x:v>
      </x:c>
      <x:c r="G49" s="109" t="n">
        <x:v>20.587573522246327</x:v>
      </x:c>
      <x:c r="H49" s="110" t="n">
        <x:v>0.838</x:v>
      </x:c>
      <x:c r="I49" s="111" t="n">
        <x:v>84.52</x:v>
      </x:c>
      <x:c r="J49" s="112" t="n">
        <x:v>0.0002642</x:v>
      </x:c>
      <x:c r="K49" s="112" t="n">
        <x:v>4.239e-16</x:v>
      </x:c>
    </x:row>
    <x:row r="50">
      <x:c r="A50" s="31" t="str">
        <x:v>LR049</x:v>
      </x:c>
      <x:c r="B50" s="31" t="str">
        <x:v>L0360-03</x:v>
      </x:c>
      <x:c r="C50" s="35" t="n">
        <x:v>0.36</x:v>
      </x:c>
      <x:c r="D50" s="108" t="n">
        <x:v>203487018340300</x:v>
      </x:c>
      <x:c r="E50" s="109" t="n">
        <x:v>17.849238296870706</x:v>
      </x:c>
      <x:c r="F50" s="108" t="n">
        <x:v>155429712747756.56</x:v>
      </x:c>
      <x:c r="G50" s="109" t="n">
        <x:v>22.177231473356493</x:v>
      </x:c>
      <x:c r="H50" s="110" t="n">
        <x:v>0.848</x:v>
      </x:c>
      <x:c r="I50" s="111" t="n">
        <x:v>85.349</x:v>
      </x:c>
      <x:c r="J50" s="112" t="n">
        <x:v>0.0002592</x:v>
      </x:c>
      <x:c r="K50" s="112" t="n">
        <x:v>3.735e-16</x:v>
      </x:c>
    </x:row>
    <x:row r="51">
      <x:c r="A51" s="31" t="str">
        <x:v>LR050</x:v>
      </x:c>
      <x:c r="B51" s="31" t="str">
        <x:v>L0360-04</x:v>
      </x:c>
      <x:c r="C51" s="35" t="n">
        <x:v>0.36</x:v>
      </x:c>
      <x:c r="D51" s="108" t="n">
        <x:v>551762197016486.25</x:v>
      </x:c>
      <x:c r="E51" s="109" t="n">
        <x:v>48.18369042587707</x:v>
      </x:c>
      <x:c r="F51" s="108" t="n">
        <x:v>59573162613916744</x:v>
      </x:c>
      <x:c r="G51" s="109" t="n">
        <x:v>12.246571704810474</x:v>
      </x:c>
      <x:c r="H51" s="110" t="n">
        <x:v>0.822</x:v>
      </x:c>
      <x:c r="I51" s="111" t="n">
        <x:v>84.137</x:v>
      </x:c>
      <x:c r="J51" s="112" t="n">
        <x:v>0.0002844</x:v>
      </x:c>
      <x:c r="K51" s="112" t="n">
        <x:v>7.997e-16</x:v>
      </x:c>
    </x:row>
    <x:row r="52">
      <x:c r="A52" s="31" t="str">
        <x:v>LR051</x:v>
      </x:c>
      <x:c r="B52" s="31" t="str">
        <x:v>L0360-05</x:v>
      </x:c>
      <x:c r="C52" s="35" t="n">
        <x:v>0.36</x:v>
      </x:c>
      <x:c r="D52" s="108" t="n">
        <x:v>543504359317450.1</x:v>
      </x:c>
      <x:c r="E52" s="109" t="n">
        <x:v>17.39719831277729</x:v>
      </x:c>
      <x:c r="F52" s="108" t="n">
        <x:v>264424840289577.8</x:v>
      </x:c>
      <x:c r="G52" s="109" t="n">
        <x:v>37.02821707792769</x:v>
      </x:c>
      <x:c r="H52" s="110" t="n">
        <x:v>0.843</x:v>
      </x:c>
      <x:c r="I52" s="111" t="n">
        <x:v>85.222</x:v>
      </x:c>
      <x:c r="J52" s="112" t="n">
        <x:v>0.000269</x:v>
      </x:c>
      <x:c r="K52" s="112" t="n">
        <x:v>4.675e-16</x:v>
      </x:c>
    </x:row>
    <x:row r="53">
      <x:c r="A53" s="31" t="str">
        <x:v>LR052</x:v>
      </x:c>
      <x:c r="B53" s="31" t="str">
        <x:v>L0360-06</x:v>
      </x:c>
      <x:c r="C53" s="35" t="n">
        <x:v>0.36</x:v>
      </x:c>
      <x:c r="D53" s="108" t="n">
        <x:v>7844704776704.595</x:v>
      </x:c>
      <x:c r="E53" s="109" t="n">
        <x:v>41.746845761853116</x:v>
      </x:c>
      <x:c r="F53" s="108" t="n">
        <x:v>414083503541299.9</x:v>
      </x:c>
      <x:c r="G53" s="109" t="n">
        <x:v>36.36612399895629</x:v>
      </x:c>
      <x:c r="H53" s="110" t="n">
        <x:v>0.825</x:v>
      </x:c>
      <x:c r="I53" s="111" t="n">
        <x:v>84.454</x:v>
      </x:c>
      <x:c r="J53" s="112" t="n">
        <x:v>0.000253</x:v>
      </x:c>
      <x:c r="K53" s="112" t="n">
        <x:v>4.768e-16</x:v>
      </x:c>
    </x:row>
    <x:row r="54">
      <x:c r="A54" s="31" t="str">
        <x:v>LR053</x:v>
      </x:c>
      <x:c r="B54" s="31" t="str">
        <x:v>L0360-07</x:v>
      </x:c>
      <x:c r="C54" s="35" t="n">
        <x:v>0.36</x:v>
      </x:c>
      <x:c r="D54" s="108" t="n">
        <x:v>382700114479849.6</x:v>
      </x:c>
      <x:c r="E54" s="109" t="n">
        <x:v>17.180318420721438</x:v>
      </x:c>
      <x:c r="F54" s="108" t="n">
        <x:v>149946647361939230</x:v>
      </x:c>
      <x:c r="G54" s="109" t="n">
        <x:v>17.15140075498345</x:v>
      </x:c>
      <x:c r="H54" s="110" t="n">
        <x:v>0.806</x:v>
      </x:c>
      <x:c r="I54" s="111" t="n">
        <x:v>83.852</x:v>
      </x:c>
      <x:c r="J54" s="112" t="n">
        <x:v>0.0002973</x:v>
      </x:c>
      <x:c r="K54" s="112" t="n">
        <x:v>1.27e-15</x:v>
      </x:c>
    </x:row>
    <x:row r="55">
      <x:c r="A55" s="31" t="str">
        <x:v>LR054</x:v>
      </x:c>
      <x:c r="B55" s="31" t="str">
        <x:v>L0360-08</x:v>
      </x:c>
      <x:c r="C55" s="35" t="n">
        <x:v>0.36</x:v>
      </x:c>
      <x:c r="D55" s="108" t="n">
        <x:v>235075106731321.97</x:v>
      </x:c>
      <x:c r="E55" s="109" t="n">
        <x:v>14.700066687661074</x:v>
      </x:c>
      <x:c r="F55" s="108" t="n">
        <x:v>654703469669687.6</x:v>
      </x:c>
      <x:c r="G55" s="109" t="n">
        <x:v>11.593929204584875</x:v>
      </x:c>
      <x:c r="H55" s="110" t="n">
        <x:v>0.853</x:v>
      </x:c>
      <x:c r="I55" s="111" t="n">
        <x:v>85.454</x:v>
      </x:c>
      <x:c r="J55" s="112" t="n">
        <x:v>0.0002603</x:v>
      </x:c>
      <x:c r="K55" s="112" t="n">
        <x:v>3.499e-16</x:v>
      </x:c>
    </x:row>
    <x:row r="56">
      <x:c r="A56" s="31" t="str">
        <x:v>LR055</x:v>
      </x:c>
      <x:c r="B56" s="31" t="str">
        <x:v>L0360-09</x:v>
      </x:c>
      <x:c r="C56" s="35" t="n">
        <x:v>0.36</x:v>
      </x:c>
      <x:c r="D56" s="108" t="n">
        <x:v>945871863760745.8</x:v>
      </x:c>
      <x:c r="E56" s="109" t="n">
        <x:v>10.512779491916577</x:v>
      </x:c>
      <x:c r="F56" s="108" t="n">
        <x:v>14782299272201672</x:v>
      </x:c>
      <x:c r="G56" s="109" t="n">
        <x:v>30.80197544670376</x:v>
      </x:c>
      <x:c r="H56" s="110" t="n">
        <x:v>0.819</x:v>
      </x:c>
      <x:c r="I56" s="111" t="n">
        <x:v>84.026</x:v>
      </x:c>
      <x:c r="J56" s="112" t="n">
        <x:v>0.0002869</x:v>
      </x:c>
      <x:c r="K56" s="112" t="n">
        <x:v>8.848e-16</x:v>
      </x:c>
    </x:row>
    <x:row r="57">
      <x:c r="A57" s="31" t="str">
        <x:v>LR056</x:v>
      </x:c>
      <x:c r="B57" s="31" t="str">
        <x:v>L0360-10</x:v>
      </x:c>
      <x:c r="C57" s="35" t="n">
        <x:v>0.36</x:v>
      </x:c>
      <x:c r="D57" s="108" t="n">
        <x:v>6925895389452.814</x:v>
      </x:c>
      <x:c r="E57" s="109" t="n">
        <x:v>67.09083123103335</x:v>
      </x:c>
      <x:c r="F57" s="108" t="n">
        <x:v>2851038769929508</x:v>
      </x:c>
      <x:c r="G57" s="109" t="n">
        <x:v>26.46930978284779</x:v>
      </x:c>
      <x:c r="H57" s="110" t="n">
        <x:v>0.826</x:v>
      </x:c>
      <x:c r="I57" s="111" t="n">
        <x:v>84</x:v>
      </x:c>
      <x:c r="J57" s="112" t="n">
        <x:v>0.0002652</x:v>
      </x:c>
      <x:c r="K57" s="112" t="n">
        <x:v>5.452e-16</x:v>
      </x:c>
    </x:row>
    <x:row r="58">
      <x:c r="A58" s="31" t="str">
        <x:v>LR057</x:v>
      </x:c>
      <x:c r="B58" s="31" t="str">
        <x:v>L0360-11</x:v>
      </x:c>
      <x:c r="C58" s="35" t="n">
        <x:v>0.36</x:v>
      </x:c>
      <x:c r="D58" s="108" t="n">
        <x:v>50432792542657.8</x:v>
      </x:c>
      <x:c r="E58" s="109" t="n">
        <x:v>65.5342755253649</x:v>
      </x:c>
      <x:c r="F58" s="108" t="n">
        <x:v>177655547503634.12</x:v>
      </x:c>
      <x:c r="G58" s="109" t="n">
        <x:v>39.81618221614255</x:v>
      </x:c>
      <x:c r="H58" s="110" t="n">
        <x:v>0.793</x:v>
      </x:c>
      <x:c r="I58" s="111" t="n">
        <x:v>83.802</x:v>
      </x:c>
      <x:c r="J58" s="112" t="n">
        <x:v>0.0002681</x:v>
      </x:c>
      <x:c r="K58" s="112" t="n">
        <x:v>1.059e-15</x:v>
      </x:c>
    </x:row>
    <x:row r="59">
      <x:c r="A59" s="31" t="str">
        <x:v>LR058</x:v>
      </x:c>
      <x:c r="B59" s="31" t="str">
        <x:v>L0360-12</x:v>
      </x:c>
      <x:c r="C59" s="35" t="n">
        <x:v>0.36</x:v>
      </x:c>
      <x:c r="D59" s="108" t="n">
        <x:v>24223408678456.29</x:v>
      </x:c>
      <x:c r="E59" s="109" t="n">
        <x:v>63.55518303505144</x:v>
      </x:c>
      <x:c r="F59" s="108" t="n">
        <x:v>136457708038212.97</x:v>
      </x:c>
      <x:c r="G59" s="109" t="n">
        <x:v>24.272978699353985</x:v>
      </x:c>
      <x:c r="H59" s="110" t="n">
        <x:v>0.82</x:v>
      </x:c>
      <x:c r="I59" s="111" t="n">
        <x:v>83.963</x:v>
      </x:c>
      <x:c r="J59" s="112" t="n">
        <x:v>0.0002547</x:v>
      </x:c>
      <x:c r="K59" s="112" t="n">
        <x:v>6.233e-16</x:v>
      </x:c>
    </x:row>
    <x:row r="60">
      <x:c r="A60" s="31" t="str">
        <x:v>LR059</x:v>
      </x:c>
      <x:c r="B60" s="31" t="str">
        <x:v>L0360-13</x:v>
      </x:c>
      <x:c r="C60" s="35" t="n">
        <x:v>0.36</x:v>
      </x:c>
      <x:c r="D60" s="108" t="n">
        <x:v>5741442542270.538</x:v>
      </x:c>
      <x:c r="E60" s="109" t="n">
        <x:v>65.9701443888536</x:v>
      </x:c>
      <x:c r="F60" s="108" t="n">
        <x:v>53927724204834776</x:v>
      </x:c>
      <x:c r="G60" s="109" t="n">
        <x:v>10.828741536612133</x:v>
      </x:c>
      <x:c r="H60" s="110" t="n">
        <x:v>0.826</x:v>
      </x:c>
      <x:c r="I60" s="111" t="n">
        <x:v>84.072</x:v>
      </x:c>
      <x:c r="J60" s="112" t="n">
        <x:v>0.0002759</x:v>
      </x:c>
      <x:c r="K60" s="112" t="n">
        <x:v>6.074e-16</x:v>
      </x:c>
    </x:row>
    <x:row r="61">
      <x:c r="A61" s="31" t="str">
        <x:v>LR060</x:v>
      </x:c>
      <x:c r="B61" s="31" t="str">
        <x:v>L0360-14, L0360-48</x:v>
      </x:c>
      <x:c r="C61" s="35" t="n">
        <x:v>0.36</x:v>
      </x:c>
      <x:c r="D61" s="108" t="n">
        <x:v>52562152816329.49</x:v>
      </x:c>
      <x:c r="E61" s="109" t="n">
        <x:v>13.952903692954258</x:v>
      </x:c>
      <x:c r="F61" s="108" t="n">
        <x:v>374433061461007.4</x:v>
      </x:c>
      <x:c r="G61" s="109" t="n">
        <x:v>25.117708874065723</x:v>
      </x:c>
      <x:c r="H61" s="110" t="n">
        <x:v>0.849</x:v>
      </x:c>
      <x:c r="I61" s="111" t="n">
        <x:v>85.428</x:v>
      </x:c>
      <x:c r="J61" s="112" t="n">
        <x:v>0.0002523</x:v>
      </x:c>
      <x:c r="K61" s="112" t="n">
        <x:v>3.671e-16</x:v>
      </x:c>
    </x:row>
    <x:row r="62">
      <x:c r="A62" s="31" t="str">
        <x:v>LR061</x:v>
      </x:c>
      <x:c r="B62" s="31" t="str">
        <x:v>L0360-15, L0360-24</x:v>
      </x:c>
      <x:c r="C62" s="35" t="n">
        <x:v>0.36</x:v>
      </x:c>
      <x:c r="D62" s="108" t="n">
        <x:v>564231343306139.2</x:v>
      </x:c>
      <x:c r="E62" s="109" t="n">
        <x:v>14.856603029928523</x:v>
      </x:c>
      <x:c r="F62" s="108" t="n">
        <x:v>23485992543713604</x:v>
      </x:c>
      <x:c r="G62" s="109" t="n">
        <x:v>22.500330320651447</x:v>
      </x:c>
      <x:c r="H62" s="110" t="n">
        <x:v>0.827</x:v>
      </x:c>
      <x:c r="I62" s="111" t="n">
        <x:v>84.255</x:v>
      </x:c>
      <x:c r="J62" s="112" t="n">
        <x:v>0.0002836</x:v>
      </x:c>
      <x:c r="K62" s="112" t="n">
        <x:v>6.457e-16</x:v>
      </x:c>
    </x:row>
    <x:row r="63">
      <x:c r="A63" s="31" t="str">
        <x:v>LR062</x:v>
      </x:c>
      <x:c r="B63" s="31" t="str">
        <x:v>L0360-16</x:v>
      </x:c>
      <x:c r="C63" s="35" t="n">
        <x:v>0.36</x:v>
      </x:c>
      <x:c r="D63" s="108" t="n">
        <x:v>53514024467989.445</x:v>
      </x:c>
      <x:c r="E63" s="109" t="n">
        <x:v>68.35094209101881</x:v>
      </x:c>
      <x:c r="F63" s="108" t="n">
        <x:v>52770687380109080</x:v>
      </x:c>
      <x:c r="G63" s="109" t="n">
        <x:v>28.459728647930106</x:v>
      </x:c>
      <x:c r="H63" s="110" t="n">
        <x:v>0.801</x:v>
      </x:c>
      <x:c r="I63" s="111" t="n">
        <x:v>83.237</x:v>
      </x:c>
      <x:c r="J63" s="112" t="n">
        <x:v>0.000289</x:v>
      </x:c>
      <x:c r="K63" s="112" t="n">
        <x:v>1.195e-15</x:v>
      </x:c>
    </x:row>
    <x:row r="64">
      <x:c r="A64" s="31" t="str">
        <x:v>LR063</x:v>
      </x:c>
      <x:c r="B64" s="31" t="str">
        <x:v>L0360-17</x:v>
      </x:c>
      <x:c r="C64" s="35" t="n">
        <x:v>0.36</x:v>
      </x:c>
      <x:c r="D64" s="108" t="n">
        <x:v>572028605346970.4</x:v>
      </x:c>
      <x:c r="E64" s="109" t="n">
        <x:v>35.15586647970923</x:v>
      </x:c>
      <x:c r="F64" s="108" t="n">
        <x:v>256134804892735.12</x:v>
      </x:c>
      <x:c r="G64" s="109" t="n">
        <x:v>39.85741183682634</x:v>
      </x:c>
      <x:c r="H64" s="110" t="n">
        <x:v>0.811</x:v>
      </x:c>
      <x:c r="I64" s="111" t="n">
        <x:v>84.278</x:v>
      </x:c>
      <x:c r="J64" s="112" t="n">
        <x:v>0.0002807</x:v>
      </x:c>
      <x:c r="K64" s="112" t="n">
        <x:v>1.087e-15</x:v>
      </x:c>
    </x:row>
    <x:row r="65">
      <x:c r="A65" s="31" t="str">
        <x:v>LR064</x:v>
      </x:c>
      <x:c r="B65" s="31" t="str">
        <x:v>L0360-18</x:v>
      </x:c>
      <x:c r="C65" s="35" t="n">
        <x:v>0.36</x:v>
      </x:c>
      <x:c r="D65" s="108" t="n">
        <x:v>506500474159934.2</x:v>
      </x:c>
      <x:c r="E65" s="109" t="n">
        <x:v>38.40582330002163</x:v>
      </x:c>
      <x:c r="F65" s="108" t="n">
        <x:v>160610589953983840</x:v>
      </x:c>
      <x:c r="G65" s="109" t="n">
        <x:v>11.165054037395176</x:v>
      </x:c>
      <x:c r="H65" s="110" t="n">
        <x:v>0.827</x:v>
      </x:c>
      <x:c r="I65" s="111" t="n">
        <x:v>84.3</x:v>
      </x:c>
      <x:c r="J65" s="112" t="n">
        <x:v>0.0002832</x:v>
      </x:c>
      <x:c r="K65" s="112" t="n">
        <x:v>6.722e-16</x:v>
      </x:c>
    </x:row>
    <x:row r="66">
      <x:c r="A66" s="31" t="str">
        <x:v>LR065</x:v>
      </x:c>
      <x:c r="B66" s="31" t="str">
        <x:v>L0360-19</x:v>
      </x:c>
      <x:c r="C66" s="35" t="n">
        <x:v>0.36</x:v>
      </x:c>
      <x:c r="D66" s="108" t="n">
        <x:v>566016002171441.8</x:v>
      </x:c>
      <x:c r="E66" s="109" t="n">
        <x:v>12.410375401646956</x:v>
      </x:c>
      <x:c r="F66" s="108" t="n">
        <x:v>27867462936311860</x:v>
      </x:c>
      <x:c r="G66" s="109" t="n">
        <x:v>15.862529470519062</x:v>
      </x:c>
      <x:c r="H66" s="110" t="n">
        <x:v>0.83</x:v>
      </x:c>
      <x:c r="I66" s="111" t="n">
        <x:v>84.448</x:v>
      </x:c>
      <x:c r="J66" s="112" t="n">
        <x:v>0.0002815</x:v>
      </x:c>
      <x:c r="K66" s="112" t="n">
        <x:v>6.621e-16</x:v>
      </x:c>
    </x:row>
    <x:row r="67">
      <x:c r="A67" s="31" t="str">
        <x:v>LR066</x:v>
      </x:c>
      <x:c r="B67" s="31" t="str">
        <x:v>L0360-20</x:v>
      </x:c>
      <x:c r="C67" s="35" t="n">
        <x:v>0.36</x:v>
      </x:c>
      <x:c r="D67" s="108" t="n">
        <x:v>30868259676340.258</x:v>
      </x:c>
      <x:c r="E67" s="109" t="n">
        <x:v>66.18527556978586</x:v>
      </x:c>
      <x:c r="F67" s="108" t="n">
        <x:v>54473351530119540</x:v>
      </x:c>
      <x:c r="G67" s="109" t="n">
        <x:v>23.06334969650465</x:v>
      </x:c>
      <x:c r="H67" s="110" t="n">
        <x:v>0.811</x:v>
      </x:c>
      <x:c r="I67" s="111" t="n">
        <x:v>83.464</x:v>
      </x:c>
      <x:c r="J67" s="112" t="n">
        <x:v>0.0002876</x:v>
      </x:c>
      <x:c r="K67" s="112" t="n">
        <x:v>1.036e-15</x:v>
      </x:c>
    </x:row>
    <x:row r="68">
      <x:c r="A68" s="31" t="str">
        <x:v>LR067</x:v>
      </x:c>
      <x:c r="B68" s="31" t="str">
        <x:v>L0360-21, L0360-30, L0360-42</x:v>
      </x:c>
      <x:c r="C68" s="35" t="n">
        <x:v>0.36</x:v>
      </x:c>
      <x:c r="D68" s="108" t="n">
        <x:v>557177010922207.6</x:v>
      </x:c>
      <x:c r="E68" s="109" t="n">
        <x:v>37.14267330531688</x:v>
      </x:c>
      <x:c r="F68" s="108" t="n">
        <x:v>44828426618598030</x:v>
      </x:c>
      <x:c r="G68" s="109" t="n">
        <x:v>27.919377431388096</x:v>
      </x:c>
      <x:c r="H68" s="110" t="n">
        <x:v>0.801</x:v>
      </x:c>
      <x:c r="I68" s="111" t="n">
        <x:v>83.467</x:v>
      </x:c>
      <x:c r="J68" s="112" t="n">
        <x:v>0.0002998</x:v>
      </x:c>
      <x:c r="K68" s="112" t="n">
        <x:v>1.479e-15</x:v>
      </x:c>
    </x:row>
    <x:row r="69">
      <x:c r="A69" s="31" t="str">
        <x:v>LR068</x:v>
      </x:c>
      <x:c r="B69" s="31" t="str">
        <x:v>L0360-22</x:v>
      </x:c>
      <x:c r="C69" s="35" t="n">
        <x:v>0.36</x:v>
      </x:c>
      <x:c r="D69" s="108" t="n">
        <x:v>372167378869197.3</x:v>
      </x:c>
      <x:c r="E69" s="109" t="n">
        <x:v>20.802402132554246</x:v>
      </x:c>
      <x:c r="F69" s="108" t="n">
        <x:v>8776636598575716</x:v>
      </x:c>
      <x:c r="G69" s="109" t="n">
        <x:v>12.65582860600339</x:v>
      </x:c>
      <x:c r="H69" s="110" t="n">
        <x:v>0.841</x:v>
      </x:c>
      <x:c r="I69" s="111" t="n">
        <x:v>84.913</x:v>
      </x:c>
      <x:c r="J69" s="112" t="n">
        <x:v>0.0002742</x:v>
      </x:c>
      <x:c r="K69" s="112" t="n">
        <x:v>4.641e-16</x:v>
      </x:c>
    </x:row>
    <x:row r="70">
      <x:c r="A70" s="31" t="str">
        <x:v>LR069</x:v>
      </x:c>
      <x:c r="B70" s="31" t="str">
        <x:v>L0360-23</x:v>
      </x:c>
      <x:c r="C70" s="35" t="n">
        <x:v>0.36</x:v>
      </x:c>
      <x:c r="D70" s="108" t="n">
        <x:v>51312838091245.16</x:v>
      </x:c>
      <x:c r="E70" s="109" t="n">
        <x:v>13.347664992876636</x:v>
      </x:c>
      <x:c r="F70" s="108" t="n">
        <x:v>360161368823005.9</x:v>
      </x:c>
      <x:c r="G70" s="109" t="n">
        <x:v>37.32401363250938</x:v>
      </x:c>
      <x:c r="H70" s="110" t="n">
        <x:v>0.84</x:v>
      </x:c>
      <x:c r="I70" s="111" t="n">
        <x:v>85.091</x:v>
      </x:c>
      <x:c r="J70" s="112" t="n">
        <x:v>0.0002565</x:v>
      </x:c>
      <x:c r="K70" s="112" t="n">
        <x:v>4.791e-16</x:v>
      </x:c>
    </x:row>
    <x:row r="71">
      <x:c r="A71" s="31" t="str">
        <x:v>LR070</x:v>
      </x:c>
      <x:c r="B71" s="31" t="str">
        <x:v>L0360-25</x:v>
      </x:c>
      <x:c r="C71" s="35" t="n">
        <x:v>0.36</x:v>
      </x:c>
      <x:c r="D71" s="108" t="n">
        <x:v>50481341052122.28</x:v>
      </x:c>
      <x:c r="E71" s="109" t="n">
        <x:v>18.919515339277368</x:v>
      </x:c>
      <x:c r="F71" s="108" t="n">
        <x:v>548815003317627.9</x:v>
      </x:c>
      <x:c r="G71" s="109" t="n">
        <x:v>29.444289600555635</x:v>
      </x:c>
      <x:c r="H71" s="110" t="n">
        <x:v>0.845</x:v>
      </x:c>
      <x:c r="I71" s="111" t="n">
        <x:v>85.224</x:v>
      </x:c>
      <x:c r="J71" s="112" t="n">
        <x:v>0.0002563</x:v>
      </x:c>
      <x:c r="K71" s="112" t="n">
        <x:v>4.316e-16</x:v>
      </x:c>
    </x:row>
    <x:row r="72">
      <x:c r="A72" s="31" t="str">
        <x:v>LR071</x:v>
      </x:c>
      <x:c r="B72" s="31" t="str">
        <x:v>L0360-26</x:v>
      </x:c>
      <x:c r="C72" s="35" t="n">
        <x:v>0.36</x:v>
      </x:c>
      <x:c r="D72" s="108" t="n">
        <x:v>47851707041671.99</x:v>
      </x:c>
      <x:c r="E72" s="109" t="n">
        <x:v>49.50440315229163</x:v>
      </x:c>
      <x:c r="F72" s="108" t="n">
        <x:v>148434661589403.34</x:v>
      </x:c>
      <x:c r="G72" s="109" t="n">
        <x:v>18.845037884200433</x:v>
      </x:c>
      <x:c r="H72" s="110" t="n">
        <x:v>0.82</x:v>
      </x:c>
      <x:c r="I72" s="111" t="n">
        <x:v>84.531</x:v>
      </x:c>
      <x:c r="J72" s="112" t="n">
        <x:v>0.0002606</x:v>
      </x:c>
      <x:c r="K72" s="112" t="n">
        <x:v>6.213e-16</x:v>
      </x:c>
    </x:row>
    <x:row r="73">
      <x:c r="A73" s="31" t="str">
        <x:v>LR072</x:v>
      </x:c>
      <x:c r="B73" s="31" t="str">
        <x:v>L0360-27</x:v>
      </x:c>
      <x:c r="C73" s="35" t="n">
        <x:v>0.36</x:v>
      </x:c>
      <x:c r="D73" s="108" t="n">
        <x:v>922177406750188.4</x:v>
      </x:c>
      <x:c r="E73" s="109" t="n">
        <x:v>10.788186452243231</x:v>
      </x:c>
      <x:c r="F73" s="108" t="n">
        <x:v>18041351672128640</x:v>
      </x:c>
      <x:c r="G73" s="109" t="n">
        <x:v>13.454496510097579</x:v>
      </x:c>
      <x:c r="H73" s="110" t="n">
        <x:v>0.855</x:v>
      </x:c>
      <x:c r="I73" s="111" t="n">
        <x:v>85.36</x:v>
      </x:c>
      <x:c r="J73" s="112" t="n">
        <x:v>0.0002657</x:v>
      </x:c>
      <x:c r="K73" s="112" t="n">
        <x:v>3.973e-16</x:v>
      </x:c>
    </x:row>
    <x:row r="74">
      <x:c r="A74" s="31" t="str">
        <x:v>LR073</x:v>
      </x:c>
      <x:c r="B74" s="31" t="str">
        <x:v>L0360-28</x:v>
      </x:c>
      <x:c r="C74" s="35" t="n">
        <x:v>0.36</x:v>
      </x:c>
      <x:c r="D74" s="108" t="n">
        <x:v>779258396958406.8</x:v>
      </x:c>
      <x:c r="E74" s="109" t="n">
        <x:v>54.71173568629357</x:v>
      </x:c>
      <x:c r="F74" s="108" t="n">
        <x:v>111387247231053380</x:v>
      </x:c>
      <x:c r="G74" s="109" t="n">
        <x:v>10.839283602199423</x:v>
      </x:c>
      <x:c r="H74" s="110" t="n">
        <x:v>0.812</x:v>
      </x:c>
      <x:c r="I74" s="111" t="n">
        <x:v>83.79</x:v>
      </x:c>
      <x:c r="J74" s="112" t="n">
        <x:v>0.0002917</x:v>
      </x:c>
      <x:c r="K74" s="112" t="n">
        <x:v>1.137e-15</x:v>
      </x:c>
    </x:row>
    <x:row r="75">
      <x:c r="A75" s="31" t="str">
        <x:v>LR074</x:v>
      </x:c>
      <x:c r="B75" s="31" t="str">
        <x:v>L0360-29</x:v>
      </x:c>
      <x:c r="C75" s="35" t="n">
        <x:v>0.36</x:v>
      </x:c>
      <x:c r="D75" s="108" t="n">
        <x:v>53724453640974.04</x:v>
      </x:c>
      <x:c r="E75" s="109" t="n">
        <x:v>19.670874168445962</x:v>
      </x:c>
      <x:c r="F75" s="108" t="n">
        <x:v>422752444383546.2</x:v>
      </x:c>
      <x:c r="G75" s="109" t="n">
        <x:v>14.226885517233777</x:v>
      </x:c>
      <x:c r="H75" s="110" t="n">
        <x:v>0.844</x:v>
      </x:c>
      <x:c r="I75" s="111" t="n">
        <x:v>85.306</x:v>
      </x:c>
      <x:c r="J75" s="112" t="n">
        <x:v>0.0002541</x:v>
      </x:c>
      <x:c r="K75" s="112" t="n">
        <x:v>3.767e-16</x:v>
      </x:c>
    </x:row>
    <x:row r="76">
      <x:c r="A76" s="31" t="str">
        <x:v>LR075</x:v>
      </x:c>
      <x:c r="B76" s="31" t="str">
        <x:v>L0360-31</x:v>
      </x:c>
      <x:c r="C76" s="35" t="n">
        <x:v>0.36</x:v>
      </x:c>
      <x:c r="D76" s="108" t="n">
        <x:v>779455392929643.5</x:v>
      </x:c>
      <x:c r="E76" s="109" t="n">
        <x:v>35.62495826774229</x:v>
      </x:c>
      <x:c r="F76" s="108" t="n">
        <x:v>197653216565666800</x:v>
      </x:c>
      <x:c r="G76" s="109" t="n">
        <x:v>14.489208933587703</x:v>
      </x:c>
      <x:c r="H76" s="110" t="n">
        <x:v>0.82</x:v>
      </x:c>
      <x:c r="I76" s="111" t="n">
        <x:v>83.902</x:v>
      </x:c>
      <x:c r="J76" s="112" t="n">
        <x:v>0.0002896</x:v>
      </x:c>
      <x:c r="K76" s="112" t="n">
        <x:v>8.194e-16</x:v>
      </x:c>
    </x:row>
    <x:row r="77">
      <x:c r="A77" s="31" t="str">
        <x:v>LR076</x:v>
      </x:c>
      <x:c r="B77" s="31" t="str">
        <x:v>L0360-32</x:v>
      </x:c>
      <x:c r="C77" s="35" t="n">
        <x:v>0.36</x:v>
      </x:c>
      <x:c r="D77" s="108" t="n">
        <x:v>577347172281974.8</x:v>
      </x:c>
      <x:c r="E77" s="109" t="n">
        <x:v>18.622405556837897</x:v>
      </x:c>
      <x:c r="F77" s="108" t="n">
        <x:v>9268116415467538</x:v>
      </x:c>
      <x:c r="G77" s="109" t="n">
        <x:v>30.819106488095056</x:v>
      </x:c>
      <x:c r="H77" s="110" t="n">
        <x:v>0.826</x:v>
      </x:c>
      <x:c r="I77" s="111" t="n">
        <x:v>84.354</x:v>
      </x:c>
      <x:c r="J77" s="112" t="n">
        <x:v>0.0002838</x:v>
      </x:c>
      <x:c r="K77" s="112" t="n">
        <x:v>6.905e-16</x:v>
      </x:c>
    </x:row>
    <x:row r="78">
      <x:c r="A78" s="31" t="str">
        <x:v>LR077</x:v>
      </x:c>
      <x:c r="B78" s="31" t="str">
        <x:v>L0360-33</x:v>
      </x:c>
      <x:c r="C78" s="35" t="n">
        <x:v>0.36</x:v>
      </x:c>
      <x:c r="D78" s="108" t="n">
        <x:v>578453997844.2933</x:v>
      </x:c>
      <x:c r="E78" s="109" t="n">
        <x:v>68.55804002275566</x:v>
      </x:c>
      <x:c r="F78" s="108" t="n">
        <x:v>5262359786574061</x:v>
      </x:c>
      <x:c r="G78" s="109" t="n">
        <x:v>15.58254629098757</x:v>
      </x:c>
      <x:c r="H78" s="110" t="n">
        <x:v>0.852</x:v>
      </x:c>
      <x:c r="I78" s="111" t="n">
        <x:v>85.2</x:v>
      </x:c>
      <x:c r="J78" s="112" t="n">
        <x:v>0.0002444</x:v>
      </x:c>
      <x:c r="K78" s="112" t="n">
        <x:v>3.196e-16</x:v>
      </x:c>
    </x:row>
    <x:row r="79">
      <x:c r="A79" s="31" t="str">
        <x:v>LR078</x:v>
      </x:c>
      <x:c r="B79" s="31" t="str">
        <x:v>L0360-34</x:v>
      </x:c>
      <x:c r="C79" s="35" t="n">
        <x:v>0.36</x:v>
      </x:c>
      <x:c r="D79" s="108" t="n">
        <x:v>7969167665897.724</x:v>
      </x:c>
      <x:c r="E79" s="109" t="n">
        <x:v>35.24903218255402</x:v>
      </x:c>
      <x:c r="F79" s="108" t="n">
        <x:v>367620241760374.06</x:v>
      </x:c>
      <x:c r="G79" s="109" t="n">
        <x:v>22.986148400552153</x:v>
      </x:c>
      <x:c r="H79" s="110" t="n">
        <x:v>0.838</x:v>
      </x:c>
      <x:c r="I79" s="111" t="n">
        <x:v>84.834</x:v>
      </x:c>
      <x:c r="J79" s="112" t="n">
        <x:v>0.0002452</x:v>
      </x:c>
      <x:c r="K79" s="112" t="n">
        <x:v>4.127e-16</x:v>
      </x:c>
    </x:row>
    <x:row r="80">
      <x:c r="A80" s="31" t="str">
        <x:v>LR079</x:v>
      </x:c>
      <x:c r="B80" s="31" t="str">
        <x:v>L0360-35</x:v>
      </x:c>
      <x:c r="C80" s="35" t="n">
        <x:v>0.36</x:v>
      </x:c>
      <x:c r="D80" s="108" t="n">
        <x:v>602332069804981</x:v>
      </x:c>
      <x:c r="E80" s="109" t="n">
        <x:v>33.828419889699745</x:v>
      </x:c>
      <x:c r="F80" s="108" t="n">
        <x:v>100345929843730.14</x:v>
      </x:c>
      <x:c r="G80" s="109" t="n">
        <x:v>10.059705323451684</x:v>
      </x:c>
      <x:c r="H80" s="110" t="n">
        <x:v>0.831</x:v>
      </x:c>
      <x:c r="I80" s="111" t="n">
        <x:v>84.756</x:v>
      </x:c>
      <x:c r="J80" s="112" t="n">
        <x:v>0.0002754</x:v>
      </x:c>
      <x:c r="K80" s="112" t="n">
        <x:v>6.438e-16</x:v>
      </x:c>
    </x:row>
    <x:row r="81">
      <x:c r="A81" s="31" t="str">
        <x:v>LR080</x:v>
      </x:c>
      <x:c r="B81" s="31" t="str">
        <x:v>L0360-36</x:v>
      </x:c>
      <x:c r="C81" s="35" t="n">
        <x:v>0.36</x:v>
      </x:c>
      <x:c r="D81" s="108" t="n">
        <x:v>562210470712165</x:v>
      </x:c>
      <x:c r="E81" s="109" t="n">
        <x:v>20.48659283622483</x:v>
      </x:c>
      <x:c r="F81" s="108" t="n">
        <x:v>7291419325296336</x:v>
      </x:c>
      <x:c r="G81" s="109" t="n">
        <x:v>21.766812502548518</x:v>
      </x:c>
      <x:c r="H81" s="110" t="n">
        <x:v>0.843</x:v>
      </x:c>
      <x:c r="I81" s="111" t="n">
        <x:v>85.054</x:v>
      </x:c>
      <x:c r="J81" s="112" t="n">
        <x:v>0.000273</x:v>
      </x:c>
      <x:c r="K81" s="112" t="n">
        <x:v>4.841e-16</x:v>
      </x:c>
    </x:row>
    <x:row r="82">
      <x:c r="A82" s="31" t="str">
        <x:v>LR081</x:v>
      </x:c>
      <x:c r="B82" s="31" t="str">
        <x:v>L0360-37</x:v>
      </x:c>
      <x:c r="C82" s="35" t="n">
        <x:v>0.36</x:v>
      </x:c>
      <x:c r="D82" s="108" t="n">
        <x:v>51838536534533.47</x:v>
      </x:c>
      <x:c r="E82" s="109" t="n">
        <x:v>69.43665403347569</x:v>
      </x:c>
      <x:c r="F82" s="108" t="n">
        <x:v>119255357713149.17</x:v>
      </x:c>
      <x:c r="G82" s="109" t="n">
        <x:v>38.65203126421056</x:v>
      </x:c>
      <x:c r="H82" s="110" t="n">
        <x:v>0.798</x:v>
      </x:c>
      <x:c r="I82" s="111" t="n">
        <x:v>83.735</x:v>
      </x:c>
      <x:c r="J82" s="112" t="n">
        <x:v>0.0002667</x:v>
      </x:c>
      <x:c r="K82" s="112" t="n">
        <x:v>1.048e-15</x:v>
      </x:c>
    </x:row>
    <x:row r="83">
      <x:c r="A83" s="31" t="str">
        <x:v>LR082</x:v>
      </x:c>
      <x:c r="B83" s="31" t="str">
        <x:v>L0360-38</x:v>
      </x:c>
      <x:c r="C83" s="35" t="n">
        <x:v>0.36</x:v>
      </x:c>
      <x:c r="D83" s="108" t="n">
        <x:v>551563664002511.2</x:v>
      </x:c>
      <x:c r="E83" s="109" t="n">
        <x:v>13.085007092645231</x:v>
      </x:c>
      <x:c r="F83" s="108" t="n">
        <x:v>388612928679471700</x:v>
      </x:c>
      <x:c r="G83" s="109" t="n">
        <x:v>16.029299810430278</x:v>
      </x:c>
      <x:c r="H83" s="110" t="n">
        <x:v>0.8</x:v>
      </x:c>
      <x:c r="I83" s="111" t="n">
        <x:v>83.53</x:v>
      </x:c>
      <x:c r="J83" s="112" t="n">
        <x:v>0.0003024</x:v>
      </x:c>
      <x:c r="K83" s="112" t="n">
        <x:v>1.738e-15</x:v>
      </x:c>
    </x:row>
    <x:row r="84">
      <x:c r="A84" s="31" t="str">
        <x:v>LR083</x:v>
      </x:c>
      <x:c r="B84" s="31" t="str">
        <x:v>L0360-39, L0360-49</x:v>
      </x:c>
      <x:c r="C84" s="35" t="n">
        <x:v>0.36</x:v>
      </x:c>
      <x:c r="D84" s="108" t="n">
        <x:v>20898816290418.855</x:v>
      </x:c>
      <x:c r="E84" s="109" t="n">
        <x:v>61.363625865824524</x:v>
      </x:c>
      <x:c r="F84" s="108" t="n">
        <x:v>450492661777572.5</x:v>
      </x:c>
      <x:c r="G84" s="109" t="n">
        <x:v>36.60609517905868</x:v>
      </x:c>
      <x:c r="H84" s="110" t="n">
        <x:v>0.814</x:v>
      </x:c>
      <x:c r="I84" s="111" t="n">
        <x:v>83.854</x:v>
      </x:c>
      <x:c r="J84" s="112" t="n">
        <x:v>0.0002612</x:v>
      </x:c>
      <x:c r="K84" s="112" t="n">
        <x:v>6.64e-16</x:v>
      </x:c>
    </x:row>
    <x:row r="85">
      <x:c r="A85" s="31" t="str">
        <x:v>LR084</x:v>
      </x:c>
      <x:c r="B85" s="31" t="str">
        <x:v>L0360-40</x:v>
      </x:c>
      <x:c r="C85" s="35" t="n">
        <x:v>0.36</x:v>
      </x:c>
      <x:c r="D85" s="108" t="n">
        <x:v>519160546758320.25</x:v>
      </x:c>
      <x:c r="E85" s="109" t="n">
        <x:v>36.66076136285908</x:v>
      </x:c>
      <x:c r="F85" s="108" t="n">
        <x:v>372215642456992.8</x:v>
      </x:c>
      <x:c r="G85" s="109" t="n">
        <x:v>27.142292812575576</x:v>
      </x:c>
      <x:c r="H85" s="110" t="n">
        <x:v>0.831</x:v>
      </x:c>
      <x:c r="I85" s="111" t="n">
        <x:v>84.629</x:v>
      </x:c>
      <x:c r="J85" s="112" t="n">
        <x:v>0.0002776</x:v>
      </x:c>
      <x:c r="K85" s="112" t="n">
        <x:v>6.303e-16</x:v>
      </x:c>
    </x:row>
    <x:row r="86">
      <x:c r="A86" s="31" t="str">
        <x:v>LR085</x:v>
      </x:c>
      <x:c r="B86" s="31" t="str">
        <x:v>L0360-41</x:v>
      </x:c>
      <x:c r="C86" s="35" t="n">
        <x:v>0.36</x:v>
      </x:c>
      <x:c r="D86" s="108" t="n">
        <x:v>38807866419656.6</x:v>
      </x:c>
      <x:c r="E86" s="109" t="n">
        <x:v>48.42768223018432</x:v>
      </x:c>
      <x:c r="F86" s="108" t="n">
        <x:v>190582871990247.03</x:v>
      </x:c>
      <x:c r="G86" s="109" t="n">
        <x:v>27.49362562305209</x:v>
      </x:c>
      <x:c r="H86" s="110" t="n">
        <x:v>0.821</x:v>
      </x:c>
      <x:c r="I86" s="111" t="n">
        <x:v>84.374</x:v>
      </x:c>
      <x:c r="J86" s="112" t="n">
        <x:v>0.0002599</x:v>
      </x:c>
      <x:c r="K86" s="112" t="n">
        <x:v>5.648e-16</x:v>
      </x:c>
    </x:row>
    <x:row r="87">
      <x:c r="A87" s="31" t="str">
        <x:v>LR086</x:v>
      </x:c>
      <x:c r="B87" s="31" t="str">
        <x:v>L0360-43</x:v>
      </x:c>
      <x:c r="C87" s="35" t="n">
        <x:v>0.36</x:v>
      </x:c>
      <x:c r="D87" s="108" t="n">
        <x:v>51893638209838.72</x:v>
      </x:c>
      <x:c r="E87" s="109" t="n">
        <x:v>14.452610150322363</x:v>
      </x:c>
      <x:c r="F87" s="108" t="n">
        <x:v>27182805798131324</x:v>
      </x:c>
      <x:c r="G87" s="109" t="n">
        <x:v>26.12198265689038</x:v>
      </x:c>
      <x:c r="H87" s="110" t="n">
        <x:v>0.83</x:v>
      </x:c>
      <x:c r="I87" s="111" t="n">
        <x:v>84.212</x:v>
      </x:c>
      <x:c r="J87" s="112" t="n">
        <x:v>0.0002744</x:v>
      </x:c>
      <x:c r="K87" s="112" t="n">
        <x:v>5.172e-16</x:v>
      </x:c>
    </x:row>
    <x:row r="88">
      <x:c r="A88" s="31" t="str">
        <x:v>LR087</x:v>
      </x:c>
      <x:c r="B88" s="31" t="str">
        <x:v>L0360-44</x:v>
      </x:c>
      <x:c r="C88" s="35" t="n">
        <x:v>0.36</x:v>
      </x:c>
      <x:c r="D88" s="108" t="n">
        <x:v>53565503355458.42</x:v>
      </x:c>
      <x:c r="E88" s="109" t="n">
        <x:v>15.424203635936449</x:v>
      </x:c>
      <x:c r="F88" s="108" t="n">
        <x:v>5054835394011966</x:v>
      </x:c>
      <x:c r="G88" s="109" t="n">
        <x:v>31.84027009174048</x:v>
      </x:c>
      <x:c r="H88" s="110" t="n">
        <x:v>0.837</x:v>
      </x:c>
      <x:c r="I88" s="111" t="n">
        <x:v>84.614</x:v>
      </x:c>
      <x:c r="J88" s="112" t="n">
        <x:v>0.0002677</x:v>
      </x:c>
      <x:c r="K88" s="112" t="n">
        <x:v>4.818e-16</x:v>
      </x:c>
    </x:row>
    <x:row r="89">
      <x:c r="A89" s="31" t="str">
        <x:v>LR088</x:v>
      </x:c>
      <x:c r="B89" s="31" t="str">
        <x:v>L0360-45</x:v>
      </x:c>
      <x:c r="C89" s="35" t="n">
        <x:v>0.36</x:v>
      </x:c>
      <x:c r="D89" s="108" t="n">
        <x:v>64045320111607.76</x:v>
      </x:c>
      <x:c r="E89" s="109" t="n">
        <x:v>15.43690588032787</x:v>
      </x:c>
      <x:c r="F89" s="108" t="n">
        <x:v>943451759540990.9</x:v>
      </x:c>
      <x:c r="G89" s="109" t="n">
        <x:v>30.348645287013124</x:v>
      </x:c>
      <x:c r="H89" s="110" t="n">
        <x:v>0.847</x:v>
      </x:c>
      <x:c r="I89" s="111" t="n">
        <x:v>85.187</x:v>
      </x:c>
      <x:c r="J89" s="112" t="n">
        <x:v>0.0002595</x:v>
      </x:c>
      <x:c r="K89" s="112" t="n">
        <x:v>3.992e-16</x:v>
      </x:c>
    </x:row>
    <x:row r="90">
      <x:c r="A90" s="31" t="str">
        <x:v>LR089</x:v>
      </x:c>
      <x:c r="B90" s="31" t="str">
        <x:v>L0360-46</x:v>
      </x:c>
      <x:c r="C90" s="35" t="n">
        <x:v>0.36</x:v>
      </x:c>
      <x:c r="D90" s="108" t="n">
        <x:v>50807313152543.36</x:v>
      </x:c>
      <x:c r="E90" s="109" t="n">
        <x:v>37.478289846742655</x:v>
      </x:c>
      <x:c r="F90" s="108" t="n">
        <x:v>105095074628151.33</x:v>
      </x:c>
      <x:c r="G90" s="109" t="n">
        <x:v>37.46719211528278</x:v>
      </x:c>
      <x:c r="H90" s="110" t="n">
        <x:v>0.826</x:v>
      </x:c>
      <x:c r="I90" s="111" t="n">
        <x:v>84.698</x:v>
      </x:c>
      <x:c r="J90" s="112" t="n">
        <x:v>0.0002575</x:v>
      </x:c>
      <x:c r="K90" s="112" t="n">
        <x:v>5.388e-16</x:v>
      </x:c>
    </x:row>
    <x:row r="91">
      <x:c r="A91" s="31" t="str">
        <x:v>LR090</x:v>
      </x:c>
      <x:c r="B91" s="31" t="str">
        <x:v>L0360-47</x:v>
      </x:c>
      <x:c r="C91" s="35" t="n">
        <x:v>0.36</x:v>
      </x:c>
      <x:c r="D91" s="108" t="n">
        <x:v>551264432043018.44</x:v>
      </x:c>
      <x:c r="E91" s="109" t="n">
        <x:v>23.688940064048676</x:v>
      </x:c>
      <x:c r="F91" s="108" t="n">
        <x:v>4748037818373117</x:v>
      </x:c>
      <x:c r="G91" s="109" t="n">
        <x:v>23.674127679404773</x:v>
      </x:c>
      <x:c r="H91" s="110" t="n">
        <x:v>0.84</x:v>
      </x:c>
      <x:c r="I91" s="111" t="n">
        <x:v>84.967</x:v>
      </x:c>
      <x:c r="J91" s="112" t="n">
        <x:v>0.0002748</x:v>
      </x:c>
      <x:c r="K91" s="112" t="n">
        <x:v>5.031e-16</x:v>
      </x:c>
    </x:row>
    <x:row r="92">
      <x:c r="A92" s="31" t="str">
        <x:v>LR091</x:v>
      </x:c>
      <x:c r="B92" s="31" t="str">
        <x:v>L0360-50</x:v>
      </x:c>
      <x:c r="C92" s="35" t="n">
        <x:v>0.36</x:v>
      </x:c>
      <x:c r="D92" s="108" t="n">
        <x:v>517280313239940.6</x:v>
      </x:c>
      <x:c r="E92" s="109" t="n">
        <x:v>23.326089609493796</x:v>
      </x:c>
      <x:c r="F92" s="108" t="n">
        <x:v>104137044458216.05</x:v>
      </x:c>
      <x:c r="G92" s="109" t="n">
        <x:v>10.761539307677376</x:v>
      </x:c>
      <x:c r="H92" s="110" t="n">
        <x:v>0.84</x:v>
      </x:c>
      <x:c r="I92" s="111" t="n">
        <x:v>85.144</x:v>
      </x:c>
      <x:c r="J92" s="112" t="n">
        <x:v>0.0002691</x:v>
      </x:c>
      <x:c r="K92" s="112" t="n">
        <x:v>4.935e-16</x:v>
      </x:c>
    </x:row>
    <x:row r="93">
      <x:c r="A93" s="31" t="str">
        <x:v>LR092</x:v>
      </x:c>
      <x:c r="B93" s="31" t="str">
        <x:v>L0720-01</x:v>
      </x:c>
      <x:c r="C93" s="35" t="n">
        <x:v>0.72</x:v>
      </x:c>
      <x:c r="D93" s="108" t="n">
        <x:v>201068140692.12628</x:v>
      </x:c>
      <x:c r="E93" s="109" t="n">
        <x:v>38.16081775184199</x:v>
      </x:c>
      <x:c r="F93" s="108" t="n">
        <x:v>9690707809632202</x:v>
      </x:c>
      <x:c r="G93" s="109" t="n">
        <x:v>18.85897266900259</x:v>
      </x:c>
      <x:c r="H93" s="110" t="n">
        <x:v>0.878</x:v>
      </x:c>
      <x:c r="I93" s="111" t="n">
        <x:v>86.008</x:v>
      </x:c>
      <x:c r="J93" s="112" t="n">
        <x:v>0.0001624</x:v>
      </x:c>
      <x:c r="K93" s="112" t="n">
        <x:v>2.732e-16</x:v>
      </x:c>
    </x:row>
    <x:row r="94">
      <x:c r="A94" s="31" t="str">
        <x:v>LR093</x:v>
      </x:c>
      <x:c r="B94" s="31" t="str">
        <x:v>L0720-02, L0720-06</x:v>
      </x:c>
      <x:c r="C94" s="35" t="n">
        <x:v>0.72</x:v>
      </x:c>
      <x:c r="D94" s="108" t="n">
        <x:v>600530084105225.5</x:v>
      </x:c>
      <x:c r="E94" s="109" t="n">
        <x:v>23.23517300713532</x:v>
      </x:c>
      <x:c r="F94" s="108" t="n">
        <x:v>698224804774768800</x:v>
      </x:c>
      <x:c r="G94" s="109" t="n">
        <x:v>10.865206509778822</x:v>
      </x:c>
      <x:c r="H94" s="110" t="n">
        <x:v>0.88</x:v>
      </x:c>
      <x:c r="I94" s="111" t="n">
        <x:v>86.758</x:v>
      </x:c>
      <x:c r="J94" s="112" t="n">
        <x:v>0.0001781</x:v>
      </x:c>
      <x:c r="K94" s="112" t="n">
        <x:v>2.875e-16</x:v>
      </x:c>
    </x:row>
    <x:row r="95">
      <x:c r="A95" s="31" t="str">
        <x:v>LR094</x:v>
      </x:c>
      <x:c r="B95" s="31" t="str">
        <x:v>L0720-03</x:v>
      </x:c>
      <x:c r="C95" s="35" t="n">
        <x:v>0.72</x:v>
      </x:c>
      <x:c r="D95" s="108" t="n">
        <x:v>8329092487917.882</x:v>
      </x:c>
      <x:c r="E95" s="109" t="n">
        <x:v>68.84156436044525</x:v>
      </x:c>
      <x:c r="F95" s="108" t="n">
        <x:v>360035188685825.1</x:v>
      </x:c>
      <x:c r="G95" s="109" t="n">
        <x:v>15.672638067518166</x:v>
      </x:c>
      <x:c r="H95" s="110" t="n">
        <x:v>0.863</x:v>
      </x:c>
      <x:c r="I95" s="111" t="n">
        <x:v>86.19</x:v>
      </x:c>
      <x:c r="J95" s="112" t="n">
        <x:v>0.0001564</x:v>
      </x:c>
      <x:c r="K95" s="112" t="n">
        <x:v>5.372e-16</x:v>
      </x:c>
    </x:row>
    <x:row r="96">
      <x:c r="A96" s="31" t="str">
        <x:v>LR095</x:v>
      </x:c>
      <x:c r="B96" s="31" t="str">
        <x:v>L0720-04</x:v>
      </x:c>
      <x:c r="C96" s="35" t="n">
        <x:v>0.72</x:v>
      </x:c>
      <x:c r="D96" s="108" t="n">
        <x:v>5200959932466.632</x:v>
      </x:c>
      <x:c r="E96" s="109" t="n">
        <x:v>63.47059153678756</x:v>
      </x:c>
      <x:c r="F96" s="108" t="n">
        <x:v>516913580909542400</x:v>
      </x:c>
      <x:c r="G96" s="109" t="n">
        <x:v>27.33597603955939</x:v>
      </x:c>
      <x:c r="H96" s="110" t="n">
        <x:v>0.861</x:v>
      </x:c>
      <x:c r="I96" s="111" t="n">
        <x:v>85.384</x:v>
      </x:c>
      <x:c r="J96" s="112" t="n">
        <x:v>0.0001895</x:v>
      </x:c>
      <x:c r="K96" s="112" t="n">
        <x:v>4.592e-16</x:v>
      </x:c>
    </x:row>
    <x:row r="97">
      <x:c r="A97" s="31" t="str">
        <x:v>LR096</x:v>
      </x:c>
      <x:c r="B97" s="31" t="str">
        <x:v>L0720-05, L0720-36</x:v>
      </x:c>
      <x:c r="C97" s="35" t="n">
        <x:v>0.72</x:v>
      </x:c>
      <x:c r="D97" s="108" t="n">
        <x:v>52020797972200.28</x:v>
      </x:c>
      <x:c r="E97" s="109" t="n">
        <x:v>13.199092320203057</x:v>
      </x:c>
      <x:c r="F97" s="108" t="n">
        <x:v>5127642465989565</x:v>
      </x:c>
      <x:c r="G97" s="109" t="n">
        <x:v>20.1105931484594</x:v>
      </x:c>
      <x:c r="H97" s="110" t="n">
        <x:v>0.882</x:v>
      </x:c>
      <x:c r="I97" s="111" t="n">
        <x:v>86.154</x:v>
      </x:c>
      <x:c r="J97" s="112" t="n">
        <x:v>0.0001698</x:v>
      </x:c>
      <x:c r="K97" s="112" t="n">
        <x:v>3.248e-16</x:v>
      </x:c>
    </x:row>
    <x:row r="98">
      <x:c r="A98" s="31" t="str">
        <x:v>LR097</x:v>
      </x:c>
      <x:c r="B98" s="31" t="str">
        <x:v>L0720-07</x:v>
      </x:c>
      <x:c r="C98" s="35" t="n">
        <x:v>0.72</x:v>
      </x:c>
      <x:c r="D98" s="108" t="n">
        <x:v>349150350303847.8</x:v>
      </x:c>
      <x:c r="E98" s="109" t="n">
        <x:v>57.873025818567484</x:v>
      </x:c>
      <x:c r="F98" s="108" t="n">
        <x:v>1075365249937356.2</x:v>
      </x:c>
      <x:c r="G98" s="109" t="n">
        <x:v>12.206843209597425</x:v>
      </x:c>
      <x:c r="H98" s="110" t="n">
        <x:v>0.871</x:v>
      </x:c>
      <x:c r="I98" s="111" t="n">
        <x:v>85.994</x:v>
      </x:c>
      <x:c r="J98" s="112" t="n">
        <x:v>0.0001785</x:v>
      </x:c>
      <x:c r="K98" s="112" t="n">
        <x:v>5.577e-16</x:v>
      </x:c>
    </x:row>
    <x:row r="99">
      <x:c r="A99" s="31" t="str">
        <x:v>LR098</x:v>
      </x:c>
      <x:c r="B99" s="31" t="str">
        <x:v>L0720-08</x:v>
      </x:c>
      <x:c r="C99" s="35" t="n">
        <x:v>0.72</x:v>
      </x:c>
      <x:c r="D99" s="108" t="n">
        <x:v>145524478356.26193</x:v>
      </x:c>
      <x:c r="E99" s="109" t="n">
        <x:v>18.47971272601604</x:v>
      </x:c>
      <x:c r="F99" s="108" t="n">
        <x:v>657587812562416100</x:v>
      </x:c>
      <x:c r="G99" s="109" t="n">
        <x:v>13.602268366912218</x:v>
      </x:c>
      <x:c r="H99" s="110" t="n">
        <x:v>0.875</x:v>
      </x:c>
      <x:c r="I99" s="111" t="n">
        <x:v>85.818</x:v>
      </x:c>
      <x:c r="J99" s="112" t="n">
        <x:v>0.0001736</x:v>
      </x:c>
      <x:c r="K99" s="112" t="n">
        <x:v>3.097e-16</x:v>
      </x:c>
    </x:row>
    <x:row r="100">
      <x:c r="A100" s="31" t="str">
        <x:v>LR099</x:v>
      </x:c>
      <x:c r="B100" s="31" t="str">
        <x:v>L0720-09</x:v>
      </x:c>
      <x:c r="C100" s="35" t="n">
        <x:v>0.72</x:v>
      </x:c>
      <x:c r="D100" s="108" t="n">
        <x:v>101810733188048.55</x:v>
      </x:c>
      <x:c r="E100" s="109" t="n">
        <x:v>26.6489262500213</x:v>
      </x:c>
      <x:c r="F100" s="108" t="n">
        <x:v>41755570863471230</x:v>
      </x:c>
      <x:c r="G100" s="109" t="n">
        <x:v>11.483320348553711</x:v>
      </x:c>
      <x:c r="H100" s="110" t="n">
        <x:v>0.879</x:v>
      </x:c>
      <x:c r="I100" s="111" t="n">
        <x:v>86.232</x:v>
      </x:c>
      <x:c r="J100" s="112" t="n">
        <x:v>0.0001737</x:v>
      </x:c>
      <x:c r="K100" s="112" t="n">
        <x:v>3.244e-16</x:v>
      </x:c>
    </x:row>
    <x:row r="101">
      <x:c r="A101" s="31" t="str">
        <x:v>LR100</x:v>
      </x:c>
      <x:c r="B101" s="31" t="str">
        <x:v>L0720-10</x:v>
      </x:c>
      <x:c r="C101" s="35" t="n">
        <x:v>0.72</x:v>
      </x:c>
      <x:c r="D101" s="108" t="n">
        <x:v>6921137715431.238</x:v>
      </x:c>
      <x:c r="E101" s="109" t="n">
        <x:v>11.394055538607294</x:v>
      </x:c>
      <x:c r="F101" s="108" t="n">
        <x:v>110449724247230.22</x:v>
      </x:c>
      <x:c r="G101" s="109" t="n">
        <x:v>18.757062760129664</x:v>
      </x:c>
      <x:c r="H101" s="110" t="n">
        <x:v>0.871</x:v>
      </x:c>
      <x:c r="I101" s="111" t="n">
        <x:v>86.377</x:v>
      </x:c>
      <x:c r="J101" s="112" t="n">
        <x:v>0.000147</x:v>
      </x:c>
      <x:c r="K101" s="112" t="n">
        <x:v>3.545e-16</x:v>
      </x:c>
    </x:row>
    <x:row r="102">
      <x:c r="A102" s="31" t="str">
        <x:v>LR101</x:v>
      </x:c>
      <x:c r="B102" s="31" t="str">
        <x:v>L0720-11, L0720-23</x:v>
      </x:c>
      <x:c r="C102" s="35" t="n">
        <x:v>0.72</x:v>
      </x:c>
      <x:c r="D102" s="108" t="n">
        <x:v>842167737139808.1</x:v>
      </x:c>
      <x:c r="E102" s="109" t="n">
        <x:v>37.10661902855549</x:v>
      </x:c>
      <x:c r="F102" s="108" t="n">
        <x:v>811097704379864700</x:v>
      </x:c>
      <x:c r="G102" s="109" t="n">
        <x:v>12.279357948814035</x:v>
      </x:c>
      <x:c r="H102" s="110" t="n">
        <x:v>0.877</x:v>
      </x:c>
      <x:c r="I102" s="111" t="n">
        <x:v>85.819</x:v>
      </x:c>
      <x:c r="J102" s="112" t="n">
        <x:v>0.0001806</x:v>
      </x:c>
      <x:c r="K102" s="112" t="n">
        <x:v>4.256e-16</x:v>
      </x:c>
    </x:row>
    <x:row r="103">
      <x:c r="A103" s="31" t="str">
        <x:v>LR102</x:v>
      </x:c>
      <x:c r="B103" s="31" t="str">
        <x:v>L0720-12</x:v>
      </x:c>
      <x:c r="C103" s="35" t="n">
        <x:v>0.72</x:v>
      </x:c>
      <x:c r="D103" s="108" t="n">
        <x:v>5308246949908.831</x:v>
      </x:c>
      <x:c r="E103" s="109" t="n">
        <x:v>15.128745093633153</x:v>
      </x:c>
      <x:c r="F103" s="108" t="n">
        <x:v>874834426258291.4</x:v>
      </x:c>
      <x:c r="G103" s="109" t="n">
        <x:v>23.041443431847775</x:v>
      </x:c>
      <x:c r="H103" s="110" t="n">
        <x:v>0.88</x:v>
      </x:c>
      <x:c r="I103" s="111" t="n">
        <x:v>86.324</x:v>
      </x:c>
      <x:c r="J103" s="112" t="n">
        <x:v>0.0001591</x:v>
      </x:c>
      <x:c r="K103" s="112" t="n">
        <x:v>3.026e-16</x:v>
      </x:c>
    </x:row>
    <x:row r="104">
      <x:c r="A104" s="31" t="str">
        <x:v>LR103</x:v>
      </x:c>
      <x:c r="B104" s="31" t="str">
        <x:v>L0720-13</x:v>
      </x:c>
      <x:c r="C104" s="35" t="n">
        <x:v>0.72</x:v>
      </x:c>
      <x:c r="D104" s="108" t="n">
        <x:v>143412264128831.53</x:v>
      </x:c>
      <x:c r="E104" s="109" t="n">
        <x:v>16.44512818092278</x:v>
      </x:c>
      <x:c r="F104" s="108" t="n">
        <x:v>194159763541805.53</x:v>
      </x:c>
      <x:c r="G104" s="109" t="n">
        <x:v>38.10770078092303</x:v>
      </x:c>
      <x:c r="H104" s="110" t="n">
        <x:v>0.873</x:v>
      </x:c>
      <x:c r="I104" s="111" t="n">
        <x:v>86.123</x:v>
      </x:c>
      <x:c r="J104" s="112" t="n">
        <x:v>0.0001686</x:v>
      </x:c>
      <x:c r="K104" s="112" t="n">
        <x:v>3.327e-16</x:v>
      </x:c>
    </x:row>
    <x:row r="105">
      <x:c r="A105" s="31" t="str">
        <x:v>LR104</x:v>
      </x:c>
      <x:c r="B105" s="31" t="str">
        <x:v>L0720-14</x:v>
      </x:c>
      <x:c r="C105" s="35" t="n">
        <x:v>0.72</x:v>
      </x:c>
      <x:c r="D105" s="108" t="n">
        <x:v>557282291767696.8</x:v>
      </x:c>
      <x:c r="E105" s="109" t="n">
        <x:v>55.653847900891584</x:v>
      </x:c>
      <x:c r="F105" s="108" t="n">
        <x:v>893399182181471.9</x:v>
      </x:c>
      <x:c r="G105" s="109" t="n">
        <x:v>19.561454701661305</x:v>
      </x:c>
      <x:c r="H105" s="110" t="n">
        <x:v>0.872</x:v>
      </x:c>
      <x:c r="I105" s="111" t="n">
        <x:v>86.09</x:v>
      </x:c>
      <x:c r="J105" s="112" t="n">
        <x:v>0.0001803</x:v>
      </x:c>
      <x:c r="K105" s="112" t="n">
        <x:v>5.06e-16</x:v>
      </x:c>
    </x:row>
    <x:row r="106">
      <x:c r="A106" s="31" t="str">
        <x:v>LR105</x:v>
      </x:c>
      <x:c r="B106" s="31" t="str">
        <x:v>L0720-15</x:v>
      </x:c>
      <x:c r="C106" s="35" t="n">
        <x:v>0.72</x:v>
      </x:c>
      <x:c r="D106" s="108" t="n">
        <x:v>1479577148978.3</x:v>
      </x:c>
      <x:c r="E106" s="109" t="n">
        <x:v>12.92403374804988</x:v>
      </x:c>
      <x:c r="F106" s="108" t="n">
        <x:v>386685159523860.6</x:v>
      </x:c>
      <x:c r="G106" s="109" t="n">
        <x:v>36.43878202365405</x:v>
      </x:c>
      <x:c r="H106" s="110" t="n">
        <x:v>0.874</x:v>
      </x:c>
      <x:c r="I106" s="111" t="n">
        <x:v>86.136</x:v>
      </x:c>
      <x:c r="J106" s="112" t="n">
        <x:v>0.0001575</x:v>
      </x:c>
      <x:c r="K106" s="112" t="n">
        <x:v>4.898e-16</x:v>
      </x:c>
    </x:row>
    <x:row r="107">
      <x:c r="A107" s="31" t="str">
        <x:v>LR106</x:v>
      </x:c>
      <x:c r="B107" s="31" t="str">
        <x:v>L0720-16</x:v>
      </x:c>
      <x:c r="C107" s="35" t="n">
        <x:v>0.72</x:v>
      </x:c>
      <x:c r="D107" s="108" t="n">
        <x:v>653004076154077.8</x:v>
      </x:c>
      <x:c r="E107" s="109" t="n">
        <x:v>33.54236944973967</x:v>
      </x:c>
      <x:c r="F107" s="108" t="n">
        <x:v>994102777924713200</x:v>
      </x:c>
      <x:c r="G107" s="109" t="n">
        <x:v>11.149794767521634</x:v>
      </x:c>
      <x:c r="H107" s="110" t="n">
        <x:v>0.878</x:v>
      </x:c>
      <x:c r="I107" s="111" t="n">
        <x:v>86.097</x:v>
      </x:c>
      <x:c r="J107" s="112" t="n">
        <x:v>0.000179</x:v>
      </x:c>
      <x:c r="K107" s="112" t="n">
        <x:v>4.724e-16</x:v>
      </x:c>
    </x:row>
    <x:row r="108">
      <x:c r="A108" s="31" t="str">
        <x:v>LR107</x:v>
      </x:c>
      <x:c r="B108" s="31" t="str">
        <x:v>L0720-17</x:v>
      </x:c>
      <x:c r="C108" s="35" t="n">
        <x:v>0.72</x:v>
      </x:c>
      <x:c r="D108" s="108" t="n">
        <x:v>5101693198135.121</x:v>
      </x:c>
      <x:c r="E108" s="109" t="n">
        <x:v>42.1544157365492</x:v>
      </x:c>
      <x:c r="F108" s="108" t="n">
        <x:v>23243610783356904</x:v>
      </x:c>
      <x:c r="G108" s="109" t="n">
        <x:v>17.406373614911324</x:v>
      </x:c>
      <x:c r="H108" s="110" t="n">
        <x:v>0.875</x:v>
      </x:c>
      <x:c r="I108" s="111" t="n">
        <x:v>85.971</x:v>
      </x:c>
      <x:c r="J108" s="112" t="n">
        <x:v>0.0001683</x:v>
      </x:c>
      <x:c r="K108" s="112" t="n">
        <x:v>2.986e-16</x:v>
      </x:c>
    </x:row>
    <x:row r="109">
      <x:c r="A109" s="31" t="str">
        <x:v>LR108</x:v>
      </x:c>
      <x:c r="B109" s="31" t="str">
        <x:v>L0720-18</x:v>
      </x:c>
      <x:c r="C109" s="35" t="n">
        <x:v>0.72</x:v>
      </x:c>
      <x:c r="D109" s="108" t="n">
        <x:v>745170794882663.9</x:v>
      </x:c>
      <x:c r="E109" s="109" t="n">
        <x:v>12.230616631029065</x:v>
      </x:c>
      <x:c r="F109" s="108" t="n">
        <x:v>105627747413008200</x:v>
      </x:c>
      <x:c r="G109" s="109" t="n">
        <x:v>11.450222484238207</x:v>
      </x:c>
      <x:c r="H109" s="110" t="n">
        <x:v>0.884</x:v>
      </x:c>
      <x:c r="I109" s="111" t="n">
        <x:v>86.057</x:v>
      </x:c>
      <x:c r="J109" s="112" t="n">
        <x:v>0.0001742</x:v>
      </x:c>
      <x:c r="K109" s="112" t="n">
        <x:v>3.969e-16</x:v>
      </x:c>
    </x:row>
    <x:row r="110">
      <x:c r="A110" s="31" t="str">
        <x:v>LR109</x:v>
      </x:c>
      <x:c r="B110" s="31" t="str">
        <x:v>L0720-19</x:v>
      </x:c>
      <x:c r="C110" s="35" t="n">
        <x:v>0.72</x:v>
      </x:c>
      <x:c r="D110" s="108" t="n">
        <x:v>5253039627139.952</x:v>
      </x:c>
      <x:c r="E110" s="109" t="n">
        <x:v>25.392507810174354</x:v>
      </x:c>
      <x:c r="F110" s="108" t="n">
        <x:v>390053330930518.9</x:v>
      </x:c>
      <x:c r="G110" s="109" t="n">
        <x:v>27.89826842400357</x:v>
      </x:c>
      <x:c r="H110" s="110" t="n">
        <x:v>0.876</x:v>
      </x:c>
      <x:c r="I110" s="111" t="n">
        <x:v>86.232</x:v>
      </x:c>
      <x:c r="J110" s="112" t="n">
        <x:v>0.0001583</x:v>
      </x:c>
      <x:c r="K110" s="112" t="n">
        <x:v>4.348e-16</x:v>
      </x:c>
    </x:row>
    <x:row r="111">
      <x:c r="A111" s="31" t="str">
        <x:v>LR110</x:v>
      </x:c>
      <x:c r="B111" s="31" t="str">
        <x:v>L0720-20, L0720-21</x:v>
      </x:c>
      <x:c r="C111" s="35" t="n">
        <x:v>0.72</x:v>
      </x:c>
      <x:c r="D111" s="108" t="n">
        <x:v>798488395670806.8</x:v>
      </x:c>
      <x:c r="E111" s="109" t="n">
        <x:v>22.02264446620876</x:v>
      </x:c>
      <x:c r="F111" s="108" t="n">
        <x:v>938251676168059600</x:v>
      </x:c>
      <x:c r="G111" s="109" t="n">
        <x:v>16.690502936817275</x:v>
      </x:c>
      <x:c r="H111" s="110" t="n">
        <x:v>0.876</x:v>
      </x:c>
      <x:c r="I111" s="111" t="n">
        <x:v>88.807</x:v>
      </x:c>
      <x:c r="J111" s="112" t="n">
        <x:v>0.0001813</x:v>
      </x:c>
      <x:c r="K111" s="112" t="n">
        <x:v>4.279e-16</x:v>
      </x:c>
    </x:row>
    <x:row r="112">
      <x:c r="A112" s="31" t="str">
        <x:v>LR111</x:v>
      </x:c>
      <x:c r="B112" s="31" t="str">
        <x:v>L0720-22</x:v>
      </x:c>
      <x:c r="C112" s="35" t="n">
        <x:v>0.72</x:v>
      </x:c>
      <x:c r="D112" s="108" t="n">
        <x:v>10819576804758.693</x:v>
      </x:c>
      <x:c r="E112" s="109" t="n">
        <x:v>13.232867418166979</x:v>
      </x:c>
      <x:c r="F112" s="108" t="n">
        <x:v>155022335337911.7</x:v>
      </x:c>
      <x:c r="G112" s="109" t="n">
        <x:v>12.515898496764782</x:v>
      </x:c>
      <x:c r="H112" s="110" t="n">
        <x:v>0.872</x:v>
      </x:c>
      <x:c r="I112" s="111" t="n">
        <x:v>86.369</x:v>
      </x:c>
      <x:c r="J112" s="112" t="n">
        <x:v>0.0001515</x:v>
      </x:c>
      <x:c r="K112" s="112" t="n">
        <x:v>3.116e-16</x:v>
      </x:c>
    </x:row>
    <x:row r="113">
      <x:c r="A113" s="31" t="str">
        <x:v>LR112</x:v>
      </x:c>
      <x:c r="B113" s="31" t="str">
        <x:v>L0720-24</x:v>
      </x:c>
      <x:c r="C113" s="35" t="n">
        <x:v>0.72</x:v>
      </x:c>
      <x:c r="D113" s="108" t="n">
        <x:v>18193935407012.215</x:v>
      </x:c>
      <x:c r="E113" s="109" t="n">
        <x:v>64.28555663357369</x:v>
      </x:c>
      <x:c r="F113" s="108" t="n">
        <x:v>51384385581745800</x:v>
      </x:c>
      <x:c r="G113" s="109" t="n">
        <x:v>22.934051252590287</x:v>
      </x:c>
      <x:c r="H113" s="110" t="n">
        <x:v>0.871</x:v>
      </x:c>
      <x:c r="I113" s="111" t="n">
        <x:v>85.841</x:v>
      </x:c>
      <x:c r="J113" s="112" t="n">
        <x:v>0.0001764</x:v>
      </x:c>
      <x:c r="K113" s="112" t="n">
        <x:v>5.88e-16</x:v>
      </x:c>
    </x:row>
    <x:row r="114">
      <x:c r="A114" s="31" t="str">
        <x:v>LR113</x:v>
      </x:c>
      <x:c r="B114" s="31" t="str">
        <x:v>L0720-25</x:v>
      </x:c>
      <x:c r="C114" s="35" t="n">
        <x:v>0.72</x:v>
      </x:c>
      <x:c r="D114" s="108" t="n">
        <x:v>766863254541320.2</x:v>
      </x:c>
      <x:c r="E114" s="109" t="n">
        <x:v>57.61842636691179</x:v>
      </x:c>
      <x:c r="F114" s="108" t="n">
        <x:v>52755846666621310</x:v>
      </x:c>
      <x:c r="G114" s="109" t="n">
        <x:v>12.825762870418988</x:v>
      </x:c>
      <x:c r="H114" s="110" t="n">
        <x:v>0.87</x:v>
      </x:c>
      <x:c r="I114" s="111" t="n">
        <x:v>85.7</x:v>
      </x:c>
      <x:c r="J114" s="112" t="n">
        <x:v>0.0001823</x:v>
      </x:c>
      <x:c r="K114" s="112" t="n">
        <x:v>4.888e-16</x:v>
      </x:c>
    </x:row>
    <x:row r="115">
      <x:c r="A115" s="31" t="str">
        <x:v>LR114</x:v>
      </x:c>
      <x:c r="B115" s="31" t="str">
        <x:v>L0720-26</x:v>
      </x:c>
      <x:c r="C115" s="35" t="n">
        <x:v>0.72</x:v>
      </x:c>
      <x:c r="D115" s="108" t="n">
        <x:v>953597415528274.2</x:v>
      </x:c>
      <x:c r="E115" s="109" t="n">
        <x:v>46.22422308377878</x:v>
      </x:c>
      <x:c r="F115" s="108" t="n">
        <x:v>715551230193571700</x:v>
      </x:c>
      <x:c r="G115" s="109" t="n">
        <x:v>13.834652940725059</x:v>
      </x:c>
      <x:c r="H115" s="110" t="n">
        <x:v>0.876</x:v>
      </x:c>
      <x:c r="I115" s="111" t="n">
        <x:v>85.887</x:v>
      </x:c>
      <x:c r="J115" s="112" t="n">
        <x:v>0.0001824</x:v>
      </x:c>
      <x:c r="K115" s="112" t="n">
        <x:v>3.487e-16</x:v>
      </x:c>
    </x:row>
    <x:row r="116">
      <x:c r="A116" s="31" t="str">
        <x:v>LR115</x:v>
      </x:c>
      <x:c r="B116" s="31" t="str">
        <x:v>L0720-27</x:v>
      </x:c>
      <x:c r="C116" s="35" t="n">
        <x:v>0.72</x:v>
      </x:c>
      <x:c r="D116" s="108" t="n">
        <x:v>611841026442102.4</x:v>
      </x:c>
      <x:c r="E116" s="109" t="n">
        <x:v>36.69571203049106</x:v>
      </x:c>
      <x:c r="F116" s="108" t="n">
        <x:v>663955868573332.2</x:v>
      </x:c>
      <x:c r="G116" s="109" t="n">
        <x:v>32.01238689521447</x:v>
      </x:c>
      <x:c r="H116" s="110" t="n">
        <x:v>0.877</x:v>
      </x:c>
      <x:c r="I116" s="111" t="n">
        <x:v>86.155</x:v>
      </x:c>
      <x:c r="J116" s="112" t="n">
        <x:v>0.0001764</x:v>
      </x:c>
      <x:c r="K116" s="112" t="n">
        <x:v>3.386e-16</x:v>
      </x:c>
    </x:row>
    <x:row r="117">
      <x:c r="A117" s="31" t="str">
        <x:v>LR116</x:v>
      </x:c>
      <x:c r="B117" s="31" t="str">
        <x:v>L0720-28</x:v>
      </x:c>
      <x:c r="C117" s="35" t="n">
        <x:v>0.72</x:v>
      </x:c>
      <x:c r="D117" s="108" t="n">
        <x:v>131705756218049.27</x:v>
      </x:c>
      <x:c r="E117" s="109" t="n">
        <x:v>22.264011067457364</x:v>
      </x:c>
      <x:c r="F117" s="108" t="n">
        <x:v>113128921323324740</x:v>
      </x:c>
      <x:c r="G117" s="109" t="n">
        <x:v>26.451085487305306</x:v>
      </x:c>
      <x:c r="H117" s="110" t="n">
        <x:v>0.874</x:v>
      </x:c>
      <x:c r="I117" s="111" t="n">
        <x:v>86.406</x:v>
      </x:c>
      <x:c r="J117" s="112" t="n">
        <x:v>0.0001799</x:v>
      </x:c>
      <x:c r="K117" s="112" t="n">
        <x:v>4.216e-16</x:v>
      </x:c>
    </x:row>
    <x:row r="118">
      <x:c r="A118" s="31" t="str">
        <x:v>LR117</x:v>
      </x:c>
      <x:c r="B118" s="31" t="str">
        <x:v>L0720-29, L0720-37</x:v>
      </x:c>
      <x:c r="C118" s="35" t="n">
        <x:v>0.72</x:v>
      </x:c>
      <x:c r="D118" s="108" t="n">
        <x:v>681030451940438.9</x:v>
      </x:c>
      <x:c r="E118" s="109" t="n">
        <x:v>57.09747005469589</x:v>
      </x:c>
      <x:c r="F118" s="108" t="n">
        <x:v>821972967180388100</x:v>
      </x:c>
      <x:c r="G118" s="109" t="n">
        <x:v>23.795655755595106</x:v>
      </x:c>
      <x:c r="H118" s="110" t="n">
        <x:v>0.869</x:v>
      </x:c>
      <x:c r="I118" s="111" t="n">
        <x:v>85.421</x:v>
      </x:c>
      <x:c r="J118" s="112" t="n">
        <x:v>0.0001867</x:v>
      </x:c>
      <x:c r="K118" s="112" t="n">
        <x:v>4.101e-16</x:v>
      </x:c>
    </x:row>
    <x:row r="119">
      <x:c r="A119" s="31" t="str">
        <x:v>LR118</x:v>
      </x:c>
      <x:c r="B119" s="31" t="str">
        <x:v>L0720-30</x:v>
      </x:c>
      <x:c r="C119" s="35" t="n">
        <x:v>0.72</x:v>
      </x:c>
      <x:c r="D119" s="108" t="n">
        <x:v>104152680007481.05</x:v>
      </x:c>
      <x:c r="E119" s="109" t="n">
        <x:v>26.7808914583292</x:v>
      </x:c>
      <x:c r="F119" s="108" t="n">
        <x:v>126793736875330.75</x:v>
      </x:c>
      <x:c r="G119" s="109" t="n">
        <x:v>34.08020688997899</x:v>
      </x:c>
      <x:c r="H119" s="110" t="n">
        <x:v>0.876</x:v>
      </x:c>
      <x:c r="I119" s="111" t="n">
        <x:v>86.253</x:v>
      </x:c>
      <x:c r="J119" s="112" t="n">
        <x:v>0.000167</x:v>
      </x:c>
      <x:c r="K119" s="112" t="n">
        <x:v>2.879e-16</x:v>
      </x:c>
    </x:row>
    <x:row r="120">
      <x:c r="A120" s="31" t="str">
        <x:v>LR119</x:v>
      </x:c>
      <x:c r="B120" s="31" t="str">
        <x:v>L0720-31, L0720-41</x:v>
      </x:c>
      <x:c r="C120" s="35" t="n">
        <x:v>0.72</x:v>
      </x:c>
      <x:c r="D120" s="108" t="n">
        <x:v>733156219846025.9</x:v>
      </x:c>
      <x:c r="E120" s="109" t="n">
        <x:v>20.22618611330147</x:v>
      </x:c>
      <x:c r="F120" s="108" t="n">
        <x:v>835372161846394400</x:v>
      </x:c>
      <x:c r="G120" s="109" t="n">
        <x:v>23.80798640634711</x:v>
      </x:c>
      <x:c r="H120" s="110" t="n">
        <x:v>0.871</x:v>
      </x:c>
      <x:c r="I120" s="111" t="n">
        <x:v>85.752</x:v>
      </x:c>
      <x:c r="J120" s="112" t="n">
        <x:v>0.0001861</x:v>
      </x:c>
      <x:c r="K120" s="112" t="n">
        <x:v>3.72e-16</x:v>
      </x:c>
    </x:row>
    <x:row r="121">
      <x:c r="A121" s="31" t="str">
        <x:v>LR120</x:v>
      </x:c>
      <x:c r="B121" s="31" t="str">
        <x:v>L0720-32</x:v>
      </x:c>
      <x:c r="C121" s="35" t="n">
        <x:v>0.72</x:v>
      </x:c>
      <x:c r="D121" s="108" t="n">
        <x:v>2532614310286.816</x:v>
      </x:c>
      <x:c r="E121" s="109" t="n">
        <x:v>69.12171006088417</x:v>
      </x:c>
      <x:c r="F121" s="108" t="n">
        <x:v>5439820338253552</x:v>
      </x:c>
      <x:c r="G121" s="109" t="n">
        <x:v>23.710606072578145</x:v>
      </x:c>
      <x:c r="H121" s="110" t="n">
        <x:v>0.875</x:v>
      </x:c>
      <x:c r="I121" s="111" t="n">
        <x:v>85.304</x:v>
      </x:c>
      <x:c r="J121" s="112" t="n">
        <x:v>0.000164</x:v>
      </x:c>
      <x:c r="K121" s="112" t="n">
        <x:v>4.025e-16</x:v>
      </x:c>
    </x:row>
    <x:row r="122">
      <x:c r="A122" s="31" t="str">
        <x:v>LR121</x:v>
      </x:c>
      <x:c r="B122" s="31" t="str">
        <x:v>L0720-33</x:v>
      </x:c>
      <x:c r="C122" s="35" t="n">
        <x:v>0.72</x:v>
      </x:c>
      <x:c r="D122" s="108" t="n">
        <x:v>69967161626891.305</x:v>
      </x:c>
      <x:c r="E122" s="109" t="n">
        <x:v>10.948886491674676</x:v>
      </x:c>
      <x:c r="F122" s="108" t="n">
        <x:v>251418357197743800</x:v>
      </x:c>
      <x:c r="G122" s="109" t="n">
        <x:v>24.74776772878287</x:v>
      </x:c>
      <x:c r="H122" s="110" t="n">
        <x:v>0.871</x:v>
      </x:c>
      <x:c r="I122" s="111" t="n">
        <x:v>85.805</x:v>
      </x:c>
      <x:c r="J122" s="112" t="n">
        <x:v>0.0001828</x:v>
      </x:c>
      <x:c r="K122" s="112" t="n">
        <x:v>4.234e-16</x:v>
      </x:c>
    </x:row>
    <x:row r="123">
      <x:c r="A123" s="31" t="str">
        <x:v>LR122</x:v>
      </x:c>
      <x:c r="B123" s="31" t="str">
        <x:v>L0720-34</x:v>
      </x:c>
      <x:c r="C123" s="35" t="n">
        <x:v>0.72</x:v>
      </x:c>
      <x:c r="D123" s="108" t="n">
        <x:v>683144320697125.1</x:v>
      </x:c>
      <x:c r="E123" s="109" t="n">
        <x:v>49.932666267788505</x:v>
      </x:c>
      <x:c r="F123" s="108" t="n">
        <x:v>5374337931304813</x:v>
      </x:c>
      <x:c r="G123" s="109" t="n">
        <x:v>22.51046109198847</x:v>
      </x:c>
      <x:c r="H123" s="110" t="n">
        <x:v>0.875</x:v>
      </x:c>
      <x:c r="I123" s="111" t="n">
        <x:v>85.944</x:v>
      </x:c>
      <x:c r="J123" s="112" t="n">
        <x:v>0.0001805</x:v>
      </x:c>
      <x:c r="K123" s="112" t="n">
        <x:v>4.742e-16</x:v>
      </x:c>
    </x:row>
    <x:row r="124">
      <x:c r="A124" s="31" t="str">
        <x:v>LR123</x:v>
      </x:c>
      <x:c r="B124" s="31" t="str">
        <x:v>L0720-35</x:v>
      </x:c>
      <x:c r="C124" s="35" t="n">
        <x:v>0.72</x:v>
      </x:c>
      <x:c r="D124" s="108" t="n">
        <x:v>40913417560923.66</x:v>
      </x:c>
      <x:c r="E124" s="109" t="n">
        <x:v>44.90586257120118</x:v>
      </x:c>
      <x:c r="F124" s="108" t="n">
        <x:v>259312055297322.06</x:v>
      </x:c>
      <x:c r="G124" s="109" t="n">
        <x:v>11.945339101547061</x:v>
      </x:c>
      <x:c r="H124" s="110" t="n">
        <x:v>0.871</x:v>
      </x:c>
      <x:c r="I124" s="111" t="n">
        <x:v>86.224</x:v>
      </x:c>
      <x:c r="J124" s="112" t="n">
        <x:v>0.0001652</x:v>
      </x:c>
      <x:c r="K124" s="112" t="n">
        <x:v>5.086e-16</x:v>
      </x:c>
    </x:row>
    <x:row r="125">
      <x:c r="A125" s="31" t="str">
        <x:v>LR124</x:v>
      </x:c>
      <x:c r="B125" s="31" t="str">
        <x:v>L0720-38</x:v>
      </x:c>
      <x:c r="C125" s="35" t="n">
        <x:v>0.72</x:v>
      </x:c>
      <x:c r="D125" s="108" t="n">
        <x:v>11661194083283.365</x:v>
      </x:c>
      <x:c r="E125" s="109" t="n">
        <x:v>10.534130153083153</x:v>
      </x:c>
      <x:c r="F125" s="108" t="n">
        <x:v>147458070542835.16</x:v>
      </x:c>
      <x:c r="G125" s="109" t="n">
        <x:v>36.05637732093673</x:v>
      </x:c>
      <x:c r="H125" s="110" t="n">
        <x:v>0.875</x:v>
      </x:c>
      <x:c r="I125" s="111" t="n">
        <x:v>86.774</x:v>
      </x:c>
      <x:c r="J125" s="112" t="n">
        <x:v>0.0001566</x:v>
      </x:c>
      <x:c r="K125" s="112" t="n">
        <x:v>3.516e-16</x:v>
      </x:c>
    </x:row>
    <x:row r="126">
      <x:c r="A126" s="31" t="str">
        <x:v>LR125</x:v>
      </x:c>
      <x:c r="B126" s="31" t="str">
        <x:v>L0720-39</x:v>
      </x:c>
      <x:c r="C126" s="35" t="n">
        <x:v>0.72</x:v>
      </x:c>
      <x:c r="D126" s="108" t="n">
        <x:v>707155385301729.8</x:v>
      </x:c>
      <x:c r="E126" s="109" t="n">
        <x:v>24.514427708103387</x:v>
      </x:c>
      <x:c r="F126" s="108" t="n">
        <x:v>567884434731165060</x:v>
      </x:c>
      <x:c r="G126" s="109" t="n">
        <x:v>14.895556998904377</x:v>
      </x:c>
      <x:c r="H126" s="110" t="n">
        <x:v>0.878</x:v>
      </x:c>
      <x:c r="I126" s="111" t="n">
        <x:v>87.019</x:v>
      </x:c>
      <x:c r="J126" s="112" t="n">
        <x:v>0.0001797</x:v>
      </x:c>
      <x:c r="K126" s="112" t="n">
        <x:v>3.362e-16</x:v>
      </x:c>
    </x:row>
    <x:row r="127">
      <x:c r="A127" s="31" t="str">
        <x:v>LR126</x:v>
      </x:c>
      <x:c r="B127" s="31" t="str">
        <x:v>L0720-40</x:v>
      </x:c>
      <x:c r="C127" s="35" t="n">
        <x:v>0.72</x:v>
      </x:c>
      <x:c r="D127" s="108" t="n">
        <x:v>53713477839422.625</x:v>
      </x:c>
      <x:c r="E127" s="109" t="n">
        <x:v>45.29466472181279</x:v>
      </x:c>
      <x:c r="F127" s="108" t="n">
        <x:v>5410572172057605</x:v>
      </x:c>
      <x:c r="G127" s="109" t="n">
        <x:v>24.895287880733203</x:v>
      </x:c>
      <x:c r="H127" s="110" t="n">
        <x:v>0.876</x:v>
      </x:c>
      <x:c r="I127" s="111" t="n">
        <x:v>86.285</x:v>
      </x:c>
      <x:c r="J127" s="112" t="n">
        <x:v>0.0001725</x:v>
      </x:c>
      <x:c r="K127" s="112" t="n">
        <x:v>3.715e-16</x:v>
      </x:c>
    </x:row>
    <x:row r="128">
      <x:c r="A128" s="31" t="str">
        <x:v>LR127</x:v>
      </x:c>
      <x:c r="B128" s="31" t="str">
        <x:v>L0720-42</x:v>
      </x:c>
      <x:c r="C128" s="35" t="n">
        <x:v>0.72</x:v>
      </x:c>
      <x:c r="D128" s="108" t="n">
        <x:v>556503168722844.7</x:v>
      </x:c>
      <x:c r="E128" s="109" t="n">
        <x:v>24.06165775843341</x:v>
      </x:c>
      <x:c r="F128" s="108" t="n">
        <x:v>165348978418491870</x:v>
      </x:c>
      <x:c r="G128" s="109" t="n">
        <x:v>26.282003016669137</x:v>
      </x:c>
      <x:c r="H128" s="110" t="n">
        <x:v>0.873</x:v>
      </x:c>
      <x:c r="I128" s="111" t="n">
        <x:v>86.621</x:v>
      </x:c>
      <x:c r="J128" s="112" t="n">
        <x:v>0.0001834</x:v>
      </x:c>
      <x:c r="K128" s="112" t="n">
        <x:v>5.435e-16</x:v>
      </x:c>
    </x:row>
    <x:row r="129">
      <x:c r="A129" s="31" t="str">
        <x:v>LR128</x:v>
      </x:c>
      <x:c r="B129" s="31" t="str">
        <x:v>L0720-43</x:v>
      </x:c>
      <x:c r="C129" s="35" t="n">
        <x:v>0.72</x:v>
      </x:c>
      <x:c r="D129" s="108" t="n">
        <x:v>177279737938.27484</x:v>
      </x:c>
      <x:c r="E129" s="109" t="n">
        <x:v>50.59655246302423</x:v>
      </x:c>
      <x:c r="F129" s="108" t="n">
        <x:v>21371173899596220</x:v>
      </x:c>
      <x:c r="G129" s="109" t="n">
        <x:v>12.841025419912725</x:v>
      </x:c>
      <x:c r="H129" s="110" t="n">
        <x:v>0.88</x:v>
      </x:c>
      <x:c r="I129" s="111" t="n">
        <x:v>86.114</x:v>
      </x:c>
      <x:c r="J129" s="112" t="n">
        <x:v>0.0001578</x:v>
      </x:c>
      <x:c r="K129" s="112" t="n">
        <x:v>2.726e-16</x:v>
      </x:c>
    </x:row>
    <x:row r="130">
      <x:c r="A130" s="31" t="str">
        <x:v>LR129</x:v>
      </x:c>
      <x:c r="B130" s="31" t="str">
        <x:v>L0720-44</x:v>
      </x:c>
      <x:c r="C130" s="35" t="n">
        <x:v>0.72</x:v>
      </x:c>
      <x:c r="D130" s="108" t="n">
        <x:v>131108004677424.62</x:v>
      </x:c>
      <x:c r="E130" s="109" t="n">
        <x:v>25.05841300545519</x:v>
      </x:c>
      <x:c r="F130" s="108" t="n">
        <x:v>180041645154294200</x:v>
      </x:c>
      <x:c r="G130" s="109" t="n">
        <x:v>30.47133262884564</x:v>
      </x:c>
      <x:c r="H130" s="110" t="n">
        <x:v>0.836</x:v>
      </x:c>
      <x:c r="I130" s="111" t="n">
        <x:v>84.44</x:v>
      </x:c>
      <x:c r="J130" s="112" t="n">
        <x:v>0.0001882</x:v>
      </x:c>
      <x:c r="K130" s="112" t="n">
        <x:v>4.92e-16</x:v>
      </x:c>
    </x:row>
    <x:row r="131">
      <x:c r="A131" s="31" t="str">
        <x:v>LR130</x:v>
      </x:c>
      <x:c r="B131" s="31" t="str">
        <x:v>L0720-45</x:v>
      </x:c>
      <x:c r="C131" s="35" t="n">
        <x:v>0.72</x:v>
      </x:c>
      <x:c r="D131" s="108" t="n">
        <x:v>998925505462194.9</x:v>
      </x:c>
      <x:c r="E131" s="109" t="n">
        <x:v>59.818678472681896</x:v>
      </x:c>
      <x:c r="F131" s="108" t="n">
        <x:v>551108295302115500</x:v>
      </x:c>
      <x:c r="G131" s="109" t="n">
        <x:v>16.96445914114078</x:v>
      </x:c>
      <x:c r="H131" s="110" t="n">
        <x:v>0.863</x:v>
      </x:c>
      <x:c r="I131" s="111" t="n">
        <x:v>84.951</x:v>
      </x:c>
      <x:c r="J131" s="112" t="n">
        <x:v>0.0001842</x:v>
      </x:c>
      <x:c r="K131" s="112" t="n">
        <x:v>4.568e-16</x:v>
      </x:c>
    </x:row>
    <x:row r="132">
      <x:c r="A132" s="31" t="str">
        <x:v>LR131</x:v>
      </x:c>
      <x:c r="B132" s="31" t="str">
        <x:v>L0720-46</x:v>
      </x:c>
      <x:c r="C132" s="35" t="n">
        <x:v>0.72</x:v>
      </x:c>
      <x:c r="D132" s="108" t="n">
        <x:v>4068787600766.8545</x:v>
      </x:c>
      <x:c r="E132" s="109" t="n">
        <x:v>40.44005760208587</x:v>
      </x:c>
      <x:c r="F132" s="108" t="n">
        <x:v>53852546698705410</x:v>
      </x:c>
      <x:c r="G132" s="109" t="n">
        <x:v>17.271790726150204</x:v>
      </x:c>
      <x:c r="H132" s="110" t="n">
        <x:v>0.876</x:v>
      </x:c>
      <x:c r="I132" s="111" t="n">
        <x:v>85.964</x:v>
      </x:c>
      <x:c r="J132" s="112" t="n">
        <x:v>0.0001676</x:v>
      </x:c>
      <x:c r="K132" s="112" t="n">
        <x:v>3.562e-16</x:v>
      </x:c>
    </x:row>
    <x:row r="133">
      <x:c r="A133" s="31" t="str">
        <x:v>LR132</x:v>
      </x:c>
      <x:c r="B133" s="31" t="str">
        <x:v>L0720-47</x:v>
      </x:c>
      <x:c r="C133" s="35" t="n">
        <x:v>0.72</x:v>
      </x:c>
      <x:c r="D133" s="108" t="n">
        <x:v>25838696368412.504</x:v>
      </x:c>
      <x:c r="E133" s="109" t="n">
        <x:v>65.40387965721007</x:v>
      </x:c>
      <x:c r="F133" s="108" t="n">
        <x:v>644040444489450600</x:v>
      </x:c>
      <x:c r="G133" s="109" t="n">
        <x:v>15.747230782563266</x:v>
      </x:c>
      <x:c r="H133" s="110" t="n">
        <x:v>0.871</x:v>
      </x:c>
      <x:c r="I133" s="111" t="n">
        <x:v>85.736</x:v>
      </x:c>
      <x:c r="J133" s="112" t="n">
        <x:v>0.000178</x:v>
      </x:c>
      <x:c r="K133" s="112" t="n">
        <x:v>3.834e-16</x:v>
      </x:c>
    </x:row>
    <x:row r="134">
      <x:c r="A134" s="31" t="str">
        <x:v>LR133</x:v>
      </x:c>
      <x:c r="B134" s="31" t="str">
        <x:v>L0720-48</x:v>
      </x:c>
      <x:c r="C134" s="35" t="n">
        <x:v>0.72</x:v>
      </x:c>
      <x:c r="D134" s="108" t="n">
        <x:v>101417449420963.55</x:v>
      </x:c>
      <x:c r="E134" s="109" t="n">
        <x:v>29.451063788805</x:v>
      </x:c>
      <x:c r="F134" s="108" t="n">
        <x:v>466844518579661.8</x:v>
      </x:c>
      <x:c r="G134" s="109" t="n">
        <x:v>16.669100582717693</x:v>
      </x:c>
      <x:c r="H134" s="110" t="n">
        <x:v>0.875</x:v>
      </x:c>
      <x:c r="I134" s="111" t="n">
        <x:v>86.105</x:v>
      </x:c>
      <x:c r="J134" s="112" t="n">
        <x:v>0.0001696</x:v>
      </x:c>
      <x:c r="K134" s="112" t="n">
        <x:v>3.677e-16</x:v>
      </x:c>
    </x:row>
    <x:row r="135">
      <x:c r="A135" s="31" t="str">
        <x:v>LR134</x:v>
      </x:c>
      <x:c r="B135" s="31" t="str">
        <x:v>L0720-49</x:v>
      </x:c>
      <x:c r="C135" s="35" t="n">
        <x:v>0.72</x:v>
      </x:c>
      <x:c r="D135" s="108" t="n">
        <x:v>1065429091588.9976</x:v>
      </x:c>
      <x:c r="E135" s="109" t="n">
        <x:v>34.790723421726405</x:v>
      </x:c>
      <x:c r="F135" s="108" t="n">
        <x:v>1528585915205887</x:v>
      </x:c>
      <x:c r="G135" s="109" t="n">
        <x:v>15.418827128333831</x:v>
      </x:c>
      <x:c r="H135" s="110" t="n">
        <x:v>0.877</x:v>
      </x:c>
      <x:c r="I135" s="111" t="n">
        <x:v>86.336</x:v>
      </x:c>
      <x:c r="J135" s="112" t="n">
        <x:v>0.0001493</x:v>
      </x:c>
      <x:c r="K135" s="112" t="n">
        <x:v>3.016e-16</x:v>
      </x:c>
    </x:row>
    <x:row r="136">
      <x:c r="A136" s="31" t="str">
        <x:v>LR135</x:v>
      </x:c>
      <x:c r="B136" s="31" t="str">
        <x:v>L0720-50</x:v>
      </x:c>
      <x:c r="C136" s="35" t="n">
        <x:v>0.72</x:v>
      </x:c>
      <x:c r="D136" s="108" t="n">
        <x:v>22655628127303.066</x:v>
      </x:c>
      <x:c r="E136" s="109" t="n">
        <x:v>44.97397238224231</x:v>
      </x:c>
      <x:c r="F136" s="108" t="n">
        <x:v>494748602429259.8</x:v>
      </x:c>
      <x:c r="G136" s="109" t="n">
        <x:v>19.35504081674255</x:v>
      </x:c>
      <x:c r="H136" s="110" t="n">
        <x:v>0.873</x:v>
      </x:c>
      <x:c r="I136" s="111" t="n">
        <x:v>86.212</x:v>
      </x:c>
      <x:c r="J136" s="112" t="n">
        <x:v>0.0001652</x:v>
      </x:c>
      <x:c r="K136" s="112" t="n">
        <x:v>3.91e-16</x:v>
      </x:c>
    </x:row>
    <x:row r="137">
      <x:c r="A137" s="31" t="str">
        <x:v>LR136</x:v>
      </x:c>
      <x:c r="B137" s="31" t="str">
        <x:v>L1000-01</x:v>
      </x:c>
      <x:c r="C137" s="35" t="n">
        <x:v>1</x:v>
      </x:c>
      <x:c r="D137" s="108" t="n">
        <x:v>46049896596991.04</x:v>
      </x:c>
      <x:c r="E137" s="109" t="n">
        <x:v>66.08131324117042</x:v>
      </x:c>
      <x:c r="F137" s="108" t="n">
        <x:v>52152179990963290</x:v>
      </x:c>
      <x:c r="G137" s="109" t="n">
        <x:v>11.880094551688131</x:v>
      </x:c>
      <x:c r="H137" s="110" t="n">
        <x:v>0.882</x:v>
      </x:c>
      <x:c r="I137" s="111" t="n">
        <x:v>86.029</x:v>
      </x:c>
      <x:c r="J137" s="112" t="n">
        <x:v>0.0001388</x:v>
      </x:c>
      <x:c r="K137" s="112" t="n">
        <x:v>6.325e-16</x:v>
      </x:c>
    </x:row>
    <x:row r="138">
      <x:c r="A138" s="31" t="str">
        <x:v>LR137</x:v>
      </x:c>
      <x:c r="B138" s="31" t="str">
        <x:v>L1000-02</x:v>
      </x:c>
      <x:c r="C138" s="35" t="n">
        <x:v>1</x:v>
      </x:c>
      <x:c r="D138" s="108" t="n">
        <x:v>712391304304648.1</x:v>
      </x:c>
      <x:c r="E138" s="109" t="n">
        <x:v>31.739202631063407</x:v>
      </x:c>
      <x:c r="F138" s="108" t="n">
        <x:v>250319590975193.6</x:v>
      </x:c>
      <x:c r="G138" s="109" t="n">
        <x:v>10.035558439051544</x:v>
      </x:c>
      <x:c r="H138" s="110" t="n">
        <x:v>0.885</x:v>
      </x:c>
      <x:c r="I138" s="111" t="n">
        <x:v>86.94</x:v>
      </x:c>
      <x:c r="J138" s="112" t="n">
        <x:v>0.000138</x:v>
      </x:c>
      <x:c r="K138" s="112" t="n">
        <x:v>4.896e-16</x:v>
      </x:c>
    </x:row>
    <x:row r="139">
      <x:c r="A139" s="31" t="str">
        <x:v>LR138</x:v>
      </x:c>
      <x:c r="B139" s="31" t="str">
        <x:v>L1000-03, L1000-34</x:v>
      </x:c>
      <x:c r="C139" s="35" t="n">
        <x:v>1</x:v>
      </x:c>
      <x:c r="D139" s="108" t="n">
        <x:v>593600874511006.5</x:v>
      </x:c>
      <x:c r="E139" s="109" t="n">
        <x:v>12.057720853448618</x:v>
      </x:c>
      <x:c r="F139" s="108" t="n">
        <x:v>945806479380617900</x:v>
      </x:c>
      <x:c r="G139" s="109" t="n">
        <x:v>19.272615825844827</x:v>
      </x:c>
      <x:c r="H139" s="110" t="n">
        <x:v>0.884</x:v>
      </x:c>
      <x:c r="I139" s="111" t="n">
        <x:v>86.015</x:v>
      </x:c>
      <x:c r="J139" s="112" t="n">
        <x:v>0.0001451</x:v>
      </x:c>
      <x:c r="K139" s="112" t="n">
        <x:v>3.687e-16</x:v>
      </x:c>
    </x:row>
    <x:row r="140">
      <x:c r="A140" s="31" t="str">
        <x:v>LR139</x:v>
      </x:c>
      <x:c r="B140" s="31" t="str">
        <x:v>L1000-04</x:v>
      </x:c>
      <x:c r="C140" s="35" t="n">
        <x:v>1</x:v>
      </x:c>
      <x:c r="D140" s="108" t="n">
        <x:v>90296272479144.9</x:v>
      </x:c>
      <x:c r="E140" s="109" t="n">
        <x:v>21.223638245523667</x:v>
      </x:c>
      <x:c r="F140" s="108" t="n">
        <x:v>282059152152060380</x:v>
      </x:c>
      <x:c r="G140" s="109" t="n">
        <x:v>11.741936582452169</x:v>
      </x:c>
      <x:c r="H140" s="110" t="n">
        <x:v>0.889</x:v>
      </x:c>
      <x:c r="I140" s="111" t="n">
        <x:v>86.491</x:v>
      </x:c>
      <x:c r="J140" s="112" t="n">
        <x:v>0.0001388</x:v>
      </x:c>
      <x:c r="K140" s="112" t="n">
        <x:v>2.888e-16</x:v>
      </x:c>
    </x:row>
    <x:row r="141">
      <x:c r="A141" s="31" t="str">
        <x:v>LR140</x:v>
      </x:c>
      <x:c r="B141" s="31" t="str">
        <x:v>L1000-05</x:v>
      </x:c>
      <x:c r="C141" s="35" t="n">
        <x:v>1</x:v>
      </x:c>
      <x:c r="D141" s="108" t="n">
        <x:v>69852618011322.81</x:v>
      </x:c>
      <x:c r="E141" s="109" t="n">
        <x:v>36.78975682033334</x:v>
      </x:c>
      <x:c r="F141" s="108" t="n">
        <x:v>177586060333500.88</x:v>
      </x:c>
      <x:c r="G141" s="109" t="n">
        <x:v>36.743803824545864</x:v>
      </x:c>
      <x:c r="H141" s="110" t="n">
        <x:v>0.879</x:v>
      </x:c>
      <x:c r="I141" s="111" t="n">
        <x:v>86.541</x:v>
      </x:c>
      <x:c r="J141" s="112" t="n">
        <x:v>0.0001327</x:v>
      </x:c>
      <x:c r="K141" s="112" t="n">
        <x:v>4.688e-16</x:v>
      </x:c>
    </x:row>
    <x:row r="142">
      <x:c r="A142" s="31" t="str">
        <x:v>LR141</x:v>
      </x:c>
      <x:c r="B142" s="31" t="str">
        <x:v>L1000-06, L1000-43</x:v>
      </x:c>
      <x:c r="C142" s="35" t="n">
        <x:v>1</x:v>
      </x:c>
      <x:c r="D142" s="108" t="n">
        <x:v>821194310279683.2</x:v>
      </x:c>
      <x:c r="E142" s="109" t="n">
        <x:v>21.753118050919376</x:v>
      </x:c>
      <x:c r="F142" s="108" t="n">
        <x:v>947914757495639200</x:v>
      </x:c>
      <x:c r="G142" s="109" t="n">
        <x:v>20.777368713563913</x:v>
      </x:c>
      <x:c r="H142" s="110" t="n">
        <x:v>0.884</x:v>
      </x:c>
      <x:c r="I142" s="111" t="n">
        <x:v>85.965</x:v>
      </x:c>
      <x:c r="J142" s="112" t="n">
        <x:v>0.000146</x:v>
      </x:c>
      <x:c r="K142" s="112" t="n">
        <x:v>4.038e-16</x:v>
      </x:c>
    </x:row>
    <x:row r="143">
      <x:c r="A143" s="31" t="str">
        <x:v>LR142</x:v>
      </x:c>
      <x:c r="B143" s="31" t="str">
        <x:v>L1000-07</x:v>
      </x:c>
      <x:c r="C143" s="35" t="n">
        <x:v>1</x:v>
      </x:c>
      <x:c r="D143" s="108" t="n">
        <x:v>51783972568909.266</x:v>
      </x:c>
      <x:c r="E143" s="109" t="n">
        <x:v>10.521901643583877</x:v>
      </x:c>
      <x:c r="F143" s="108" t="n">
        <x:v>1489598000321620.2</x:v>
      </x:c>
      <x:c r="G143" s="109" t="n">
        <x:v>33.623731309122306</x:v>
      </x:c>
      <x:c r="H143" s="110" t="n">
        <x:v>0.884</x:v>
      </x:c>
      <x:c r="I143" s="111" t="n">
        <x:v>86.135</x:v>
      </x:c>
      <x:c r="J143" s="112" t="n">
        <x:v>0.000137</x:v>
      </x:c>
      <x:c r="K143" s="112" t="n">
        <x:v>6.213e-16</x:v>
      </x:c>
    </x:row>
    <x:row r="144">
      <x:c r="A144" s="31" t="str">
        <x:v>LR143</x:v>
      </x:c>
      <x:c r="B144" s="31" t="str">
        <x:v>L1000-08</x:v>
      </x:c>
      <x:c r="C144" s="35" t="n">
        <x:v>1</x:v>
      </x:c>
      <x:c r="D144" s="108" t="n">
        <x:v>116801957529554.4</x:v>
      </x:c>
      <x:c r="E144" s="109" t="n">
        <x:v>64.10204645229828</x:v>
      </x:c>
      <x:c r="F144" s="108" t="n">
        <x:v>174919897601106980</x:v>
      </x:c>
      <x:c r="G144" s="109" t="n">
        <x:v>28.979871605706094</x:v>
      </x:c>
      <x:c r="H144" s="110" t="n">
        <x:v>0.873</x:v>
      </x:c>
      <x:c r="I144" s="111" t="n">
        <x:v>85.364</x:v>
      </x:c>
      <x:c r="J144" s="112" t="n">
        <x:v>0.0001492</x:v>
      </x:c>
      <x:c r="K144" s="112" t="n">
        <x:v>5.65e-16</x:v>
      </x:c>
    </x:row>
    <x:row r="145">
      <x:c r="A145" s="31" t="str">
        <x:v>LR144</x:v>
      </x:c>
      <x:c r="B145" s="31" t="str">
        <x:v>L1000-09, L1000-47, L1000-50</x:v>
      </x:c>
      <x:c r="C145" s="35" t="n">
        <x:v>1</x:v>
      </x:c>
      <x:c r="D145" s="108" t="n">
        <x:v>51503769821650.1</x:v>
      </x:c>
      <x:c r="E145" s="109" t="n">
        <x:v>12.579854900944818</x:v>
      </x:c>
      <x:c r="F145" s="108" t="n">
        <x:v>17431546101493270</x:v>
      </x:c>
      <x:c r="G145" s="109" t="n">
        <x:v>24.34971339346792</x:v>
      </x:c>
      <x:c r="H145" s="110" t="n">
        <x:v>0.888</x:v>
      </x:c>
      <x:c r="I145" s="111" t="n">
        <x:v>86.613</x:v>
      </x:c>
      <x:c r="J145" s="112" t="n">
        <x:v>0.000138</x:v>
      </x:c>
      <x:c r="K145" s="112" t="n">
        <x:v>3.22e-16</x:v>
      </x:c>
    </x:row>
    <x:row r="146">
      <x:c r="A146" s="31" t="str">
        <x:v>LR145</x:v>
      </x:c>
      <x:c r="B146" s="31" t="str">
        <x:v>L1000-10</x:v>
      </x:c>
      <x:c r="C146" s="35" t="n">
        <x:v>1</x:v>
      </x:c>
      <x:c r="D146" s="108" t="n">
        <x:v>52843094327787.24</x:v>
      </x:c>
      <x:c r="E146" s="109" t="n">
        <x:v>61.390274117406165</x:v>
      </x:c>
      <x:c r="F146" s="108" t="n">
        <x:v>5445484824305920</x:v>
      </x:c>
      <x:c r="G146" s="109" t="n">
        <x:v>10.505756158090017</x:v>
      </x:c>
      <x:c r="H146" s="110" t="n">
        <x:v>0.881</x:v>
      </x:c>
      <x:c r="I146" s="111" t="n">
        <x:v>86.134</x:v>
      </x:c>
      <x:c r="J146" s="112" t="n">
        <x:v>0.0001369</x:v>
      </x:c>
      <x:c r="K146" s="112" t="n">
        <x:v>6.201e-16</x:v>
      </x:c>
    </x:row>
    <x:row r="147">
      <x:c r="A147" s="31" t="str">
        <x:v>LR146</x:v>
      </x:c>
      <x:c r="B147" s="31" t="str">
        <x:v>L1000-11, L1000-15, L1000-32, L1000-35, L1000-40</x:v>
      </x:c>
      <x:c r="C147" s="35" t="n">
        <x:v>1</x:v>
      </x:c>
      <x:c r="D147" s="108" t="n">
        <x:v>606064265247986.1</x:v>
      </x:c>
      <x:c r="E147" s="109" t="n">
        <x:v>42.82020093429715</x:v>
      </x:c>
      <x:c r="F147" s="108" t="n">
        <x:v>956839205112995000</x:v>
      </x:c>
      <x:c r="G147" s="109" t="n">
        <x:v>24.760085704668278</x:v>
      </x:c>
      <x:c r="H147" s="110" t="n">
        <x:v>0.883</x:v>
      </x:c>
      <x:c r="I147" s="111" t="n">
        <x:v>86.129</x:v>
      </x:c>
      <x:c r="J147" s="112" t="n">
        <x:v>0.0001493</x:v>
      </x:c>
      <x:c r="K147" s="112" t="n">
        <x:v>6.154e-16</x:v>
      </x:c>
    </x:row>
    <x:row r="148">
      <x:c r="A148" s="31" t="str">
        <x:v>LR147</x:v>
      </x:c>
      <x:c r="B148" s="31" t="str">
        <x:v>L1000-12</x:v>
      </x:c>
      <x:c r="C148" s="35" t="n">
        <x:v>1</x:v>
      </x:c>
      <x:c r="D148" s="108" t="n">
        <x:v>625979199528099.2</x:v>
      </x:c>
      <x:c r="E148" s="109" t="n">
        <x:v>58.12654649486656</x:v>
      </x:c>
      <x:c r="F148" s="108" t="n">
        <x:v>979195349586175700</x:v>
      </x:c>
      <x:c r="G148" s="109" t="n">
        <x:v>11.508146677548611</x:v>
      </x:c>
      <x:c r="H148" s="110" t="n">
        <x:v>0.885</x:v>
      </x:c>
      <x:c r="I148" s="111" t="n">
        <x:v>85.687</x:v>
      </x:c>
      <x:c r="J148" s="112" t="n">
        <x:v>0.000143</x:v>
      </x:c>
      <x:c r="K148" s="112" t="n">
        <x:v>4.308e-16</x:v>
      </x:c>
    </x:row>
    <x:row r="149">
      <x:c r="A149" s="31" t="str">
        <x:v>LR148</x:v>
      </x:c>
      <x:c r="B149" s="31" t="str">
        <x:v>L1000-13</x:v>
      </x:c>
      <x:c r="C149" s="35" t="n">
        <x:v>1</x:v>
      </x:c>
      <x:c r="D149" s="108" t="n">
        <x:v>889774639711088.2</x:v>
      </x:c>
      <x:c r="E149" s="109" t="n">
        <x:v>35.91530053570944</x:v>
      </x:c>
      <x:c r="F149" s="108" t="n">
        <x:v>558494599868316350</x:v>
      </x:c>
      <x:c r="G149" s="109" t="n">
        <x:v>15.646478030521967</x:v>
      </x:c>
      <x:c r="H149" s="110" t="n">
        <x:v>0.888</x:v>
      </x:c>
      <x:c r="I149" s="111" t="n">
        <x:v>86.78</x:v>
      </x:c>
      <x:c r="J149" s="112" t="n">
        <x:v>0.0001426</x:v>
      </x:c>
      <x:c r="K149" s="112" t="n">
        <x:v>3.996e-16</x:v>
      </x:c>
    </x:row>
    <x:row r="150">
      <x:c r="A150" s="31" t="str">
        <x:v>LR149</x:v>
      </x:c>
      <x:c r="B150" s="31" t="str">
        <x:v>L1000-14</x:v>
      </x:c>
      <x:c r="C150" s="35" t="n">
        <x:v>1</x:v>
      </x:c>
      <x:c r="D150" s="108" t="n">
        <x:v>595996260243959.4</x:v>
      </x:c>
      <x:c r="E150" s="109" t="n">
        <x:v>26.355645597080887</x:v>
      </x:c>
      <x:c r="F150" s="108" t="n">
        <x:v>202620037940966.66</x:v>
      </x:c>
      <x:c r="G150" s="109" t="n">
        <x:v>13.218372360350552</x:v>
      </x:c>
      <x:c r="H150" s="110" t="n">
        <x:v>0.886</x:v>
      </x:c>
      <x:c r="I150" s="111" t="n">
        <x:v>86.616</x:v>
      </x:c>
      <x:c r="J150" s="112" t="n">
        <x:v>0.0001369</x:v>
      </x:c>
      <x:c r="K150" s="112" t="n">
        <x:v>4.902e-16</x:v>
      </x:c>
    </x:row>
    <x:row r="151">
      <x:c r="A151" s="31" t="str">
        <x:v>LR150</x:v>
      </x:c>
      <x:c r="B151" s="31" t="str">
        <x:v>L1000-16</x:v>
      </x:c>
      <x:c r="C151" s="35" t="n">
        <x:v>1</x:v>
      </x:c>
      <x:c r="D151" s="108" t="n">
        <x:v>115729499215524.73</x:v>
      </x:c>
      <x:c r="E151" s="109" t="n">
        <x:v>21.463405916203765</x:v>
      </x:c>
      <x:c r="F151" s="108" t="n">
        <x:v>221732604222709.5</x:v>
      </x:c>
      <x:c r="G151" s="109" t="n">
        <x:v>31.280420748976795</x:v>
      </x:c>
      <x:c r="H151" s="110" t="n">
        <x:v>0.884</x:v>
      </x:c>
      <x:c r="I151" s="111" t="n">
        <x:v>86.514</x:v>
      </x:c>
      <x:c r="J151" s="112" t="n">
        <x:v>0.000133</x:v>
      </x:c>
      <x:c r="K151" s="112" t="n">
        <x:v>3.25e-16</x:v>
      </x:c>
    </x:row>
    <x:row r="152">
      <x:c r="A152" s="31" t="str">
        <x:v>LR151</x:v>
      </x:c>
      <x:c r="B152" s="31" t="str">
        <x:v>L1000-17</x:v>
      </x:c>
      <x:c r="C152" s="35" t="n">
        <x:v>1</x:v>
      </x:c>
      <x:c r="D152" s="108" t="n">
        <x:v>550522666646930.94</x:v>
      </x:c>
      <x:c r="E152" s="109" t="n">
        <x:v>59.79675483358328</x:v>
      </x:c>
      <x:c r="F152" s="108" t="n">
        <x:v>491256803204400.06</x:v>
      </x:c>
      <x:c r="G152" s="109" t="n">
        <x:v>23.377610729851853</x:v>
      </x:c>
      <x:c r="H152" s="110" t="n">
        <x:v>0.879</x:v>
      </x:c>
      <x:c r="I152" s="111" t="n">
        <x:v>85.973</x:v>
      </x:c>
      <x:c r="J152" s="112" t="n">
        <x:v>0.000141</x:v>
      </x:c>
      <x:c r="K152" s="112" t="n">
        <x:v>6.481e-16</x:v>
      </x:c>
    </x:row>
    <x:row r="153">
      <x:c r="A153" s="31" t="str">
        <x:v>LR152</x:v>
      </x:c>
      <x:c r="B153" s="31" t="str">
        <x:v>L1000-18</x:v>
      </x:c>
      <x:c r="C153" s="35" t="n">
        <x:v>1</x:v>
      </x:c>
      <x:c r="D153" s="108" t="n">
        <x:v>505380284210844.7</x:v>
      </x:c>
      <x:c r="E153" s="109" t="n">
        <x:v>52.572794225732565</x:v>
      </x:c>
      <x:c r="F153" s="108" t="n">
        <x:v>5114604874572369</x:v>
      </x:c>
      <x:c r="G153" s="109" t="n">
        <x:v>13.864003576985002</x:v>
      </x:c>
      <x:c r="H153" s="110" t="n">
        <x:v>0.885</x:v>
      </x:c>
      <x:c r="I153" s="111" t="n">
        <x:v>86.806</x:v>
      </x:c>
      <x:c r="J153" s="112" t="n">
        <x:v>0.0001412</x:v>
      </x:c>
      <x:c r="K153" s="112" t="n">
        <x:v>6.474e-16</x:v>
      </x:c>
    </x:row>
    <x:row r="154">
      <x:c r="A154" s="31" t="str">
        <x:v>LR153</x:v>
      </x:c>
      <x:c r="B154" s="31" t="str">
        <x:v>L1000-19</x:v>
      </x:c>
      <x:c r="C154" s="35" t="n">
        <x:v>1</x:v>
      </x:c>
      <x:c r="D154" s="108" t="n">
        <x:v>599608606635486.6</x:v>
      </x:c>
      <x:c r="E154" s="109" t="n">
        <x:v>33.556221781064</x:v>
      </x:c>
      <x:c r="F154" s="108" t="n">
        <x:v>509141010465448.7</x:v>
      </x:c>
      <x:c r="G154" s="109" t="n">
        <x:v>23.331382905864086</x:v>
      </x:c>
      <x:c r="H154" s="110" t="n">
        <x:v>0.886</x:v>
      </x:c>
      <x:c r="I154" s="111" t="n">
        <x:v>86.993</x:v>
      </x:c>
      <x:c r="J154" s="112" t="n">
        <x:v>0.0001386</x:v>
      </x:c>
      <x:c r="K154" s="112" t="n">
        <x:v>4.497e-16</x:v>
      </x:c>
    </x:row>
    <x:row r="155">
      <x:c r="A155" s="31" t="str">
        <x:v>LR154</x:v>
      </x:c>
      <x:c r="B155" s="31" t="str">
        <x:v>L1000-20, L1000-26</x:v>
      </x:c>
      <x:c r="C155" s="35" t="n">
        <x:v>1</x:v>
      </x:c>
      <x:c r="D155" s="108" t="n">
        <x:v>37542225670775.35</x:v>
      </x:c>
      <x:c r="E155" s="109" t="n">
        <x:v>12.813752512980624</x:v>
      </x:c>
      <x:c r="F155" s="108" t="n">
        <x:v>682700525103471.9</x:v>
      </x:c>
      <x:c r="G155" s="109" t="n">
        <x:v>15.084399975014252</x:v>
      </x:c>
      <x:c r="H155" s="110" t="n">
        <x:v>0.886</x:v>
      </x:c>
      <x:c r="I155" s="111" t="n">
        <x:v>86.68</x:v>
      </x:c>
      <x:c r="J155" s="112" t="n">
        <x:v>0.0001309</x:v>
      </x:c>
      <x:c r="K155" s="112" t="n">
        <x:v>3.461e-16</x:v>
      </x:c>
    </x:row>
    <x:row r="156">
      <x:c r="A156" s="31" t="str">
        <x:v>LR155</x:v>
      </x:c>
      <x:c r="B156" s="31" t="str">
        <x:v>L1000-21</x:v>
      </x:c>
      <x:c r="C156" s="35" t="n">
        <x:v>1</x:v>
      </x:c>
      <x:c r="D156" s="108" t="n">
        <x:v>478095970543992.2</x:v>
      </x:c>
      <x:c r="E156" s="109" t="n">
        <x:v>54.52172115935931</x:v>
      </x:c>
      <x:c r="F156" s="108" t="n">
        <x:v>299435697330282</x:v>
      </x:c>
      <x:c r="G156" s="109" t="n">
        <x:v>10.561512616342219</x:v>
      </x:c>
      <x:c r="H156" s="110" t="n">
        <x:v>0.883</x:v>
      </x:c>
      <x:c r="I156" s="111" t="n">
        <x:v>86.914</x:v>
      </x:c>
      <x:c r="J156" s="112" t="n">
        <x:v>0.00014</x:v>
      </x:c>
      <x:c r="K156" s="112" t="n">
        <x:v>6.511e-16</x:v>
      </x:c>
    </x:row>
    <x:row r="157">
      <x:c r="A157" s="31" t="str">
        <x:v>LR156</x:v>
      </x:c>
      <x:c r="B157" s="31" t="str">
        <x:v>L1000-22</x:v>
      </x:c>
      <x:c r="C157" s="35" t="n">
        <x:v>1</x:v>
      </x:c>
      <x:c r="D157" s="108" t="n">
        <x:v>637296294020.816</x:v>
      </x:c>
      <x:c r="E157" s="109" t="n">
        <x:v>68.83764950733824</x:v>
      </x:c>
      <x:c r="F157" s="108" t="n">
        <x:v>2908145817765137</x:v>
      </x:c>
      <x:c r="G157" s="109" t="n">
        <x:v>30.387256099686134</x:v>
      </x:c>
      <x:c r="H157" s="110" t="n">
        <x:v>0.887</x:v>
      </x:c>
      <x:c r="I157" s="111" t="n">
        <x:v>86.261</x:v>
      </x:c>
      <x:c r="J157" s="112" t="n">
        <x:v>0.0001358</x:v>
      </x:c>
      <x:c r="K157" s="112" t="n">
        <x:v>4.859e-16</x:v>
      </x:c>
    </x:row>
    <x:row r="158">
      <x:c r="A158" s="31" t="str">
        <x:v>LR157</x:v>
      </x:c>
      <x:c r="B158" s="31" t="str">
        <x:v>L1000-23</x:v>
      </x:c>
      <x:c r="C158" s="35" t="n">
        <x:v>1</x:v>
      </x:c>
      <x:c r="D158" s="108" t="n">
        <x:v>343433242796459.9</x:v>
      </x:c>
      <x:c r="E158" s="109" t="n">
        <x:v>48.65742658368378</x:v>
      </x:c>
      <x:c r="F158" s="108" t="n">
        <x:v>852904787264195100</x:v>
      </x:c>
      <x:c r="G158" s="109" t="n">
        <x:v>13.289062877375084</x:v>
      </x:c>
      <x:c r="H158" s="110" t="n">
        <x:v>0.887</x:v>
      </x:c>
      <x:c r="I158" s="111" t="n">
        <x:v>86.085</x:v>
      </x:c>
      <x:c r="J158" s="112" t="n">
        <x:v>0.000142</x:v>
      </x:c>
      <x:c r="K158" s="112" t="n">
        <x:v>3.921e-16</x:v>
      </x:c>
    </x:row>
    <x:row r="159">
      <x:c r="A159" s="31" t="str">
        <x:v>LR158</x:v>
      </x:c>
      <x:c r="B159" s="31" t="str">
        <x:v>L1000-24</x:v>
      </x:c>
      <x:c r="C159" s="35" t="n">
        <x:v>1</x:v>
      </x:c>
      <x:c r="D159" s="108" t="n">
        <x:v>749937946194700.1</x:v>
      </x:c>
      <x:c r="E159" s="109" t="n">
        <x:v>26.54375020161431</x:v>
      </x:c>
      <x:c r="F159" s="108" t="n">
        <x:v>877110333460663000</x:v>
      </x:c>
      <x:c r="G159" s="109" t="n">
        <x:v>12.115443454674036</x:v>
      </x:c>
      <x:c r="H159" s="110" t="n">
        <x:v>0.889</x:v>
      </x:c>
      <x:c r="I159" s="111" t="n">
        <x:v>87.192</x:v>
      </x:c>
      <x:c r="J159" s="112" t="n">
        <x:v>0.0001417</x:v>
      </x:c>
      <x:c r="K159" s="112" t="n">
        <x:v>3.877e-16</x:v>
      </x:c>
    </x:row>
    <x:row r="160">
      <x:c r="A160" s="31" t="str">
        <x:v>LR159</x:v>
      </x:c>
      <x:c r="B160" s="31" t="str">
        <x:v>L1000-25</x:v>
      </x:c>
      <x:c r="C160" s="35" t="n">
        <x:v>1</x:v>
      </x:c>
      <x:c r="D160" s="108" t="n">
        <x:v>92539274437628.11</x:v>
      </x:c>
      <x:c r="E160" s="109" t="n">
        <x:v>66.29855761335773</x:v>
      </x:c>
      <x:c r="F160" s="108" t="n">
        <x:v>5209053359702460</x:v>
      </x:c>
      <x:c r="G160" s="109" t="n">
        <x:v>11.389067835139363</x:v>
      </x:c>
      <x:c r="H160" s="110" t="n">
        <x:v>0.877</x:v>
      </x:c>
      <x:c r="I160" s="111" t="n">
        <x:v>85.94</x:v>
      </x:c>
      <x:c r="J160" s="112" t="n">
        <x:v>0.0001392</x:v>
      </x:c>
      <x:c r="K160" s="112" t="n">
        <x:v>6.779e-16</x:v>
      </x:c>
    </x:row>
    <x:row r="161">
      <x:c r="A161" s="31" t="str">
        <x:v>LR160</x:v>
      </x:c>
      <x:c r="B161" s="31" t="str">
        <x:v>L1000-27</x:v>
      </x:c>
      <x:c r="C161" s="35" t="n">
        <x:v>1</x:v>
      </x:c>
      <x:c r="D161" s="108" t="n">
        <x:v>599076003767871.4</x:v>
      </x:c>
      <x:c r="E161" s="109" t="n">
        <x:v>62.51376064349655</x:v>
      </x:c>
      <x:c r="F161" s="108" t="n">
        <x:v>974588907124436000</x:v>
      </x:c>
      <x:c r="G161" s="109" t="n">
        <x:v>22.63051013533311</x:v>
      </x:c>
      <x:c r="H161" s="110" t="n">
        <x:v>0.874</x:v>
      </x:c>
      <x:c r="I161" s="111" t="n">
        <x:v>84.881</x:v>
      </x:c>
      <x:c r="J161" s="112" t="n">
        <x:v>0.000145</x:v>
      </x:c>
      <x:c r="K161" s="112" t="n">
        <x:v>6.061e-16</x:v>
      </x:c>
    </x:row>
    <x:row r="162">
      <x:c r="A162" s="31" t="str">
        <x:v>LR161</x:v>
      </x:c>
      <x:c r="B162" s="31" t="str">
        <x:v>L1000-28</x:v>
      </x:c>
      <x:c r="C162" s="35" t="n">
        <x:v>1</x:v>
      </x:c>
      <x:c r="D162" s="108" t="n">
        <x:v>51823566195416.11</x:v>
      </x:c>
      <x:c r="E162" s="109" t="n">
        <x:v>25.139107467367715</x:v>
      </x:c>
      <x:c r="F162" s="108" t="n">
        <x:v>139895576258148020</x:v>
      </x:c>
      <x:c r="G162" s="109" t="n">
        <x:v>10.862982113987425</x:v>
      </x:c>
      <x:c r="H162" s="110" t="n">
        <x:v>0.889</x:v>
      </x:c>
      <x:c r="I162" s="111" t="n">
        <x:v>86.242</x:v>
      </x:c>
      <x:c r="J162" s="112" t="n">
        <x:v>0.0001372</x:v>
      </x:c>
      <x:c r="K162" s="112" t="n">
        <x:v>5.313e-16</x:v>
      </x:c>
    </x:row>
    <x:row r="163">
      <x:c r="A163" s="31" t="str">
        <x:v>LR162</x:v>
      </x:c>
      <x:c r="B163" s="31" t="str">
        <x:v>L1000-29</x:v>
      </x:c>
      <x:c r="C163" s="35" t="n">
        <x:v>1</x:v>
      </x:c>
      <x:c r="D163" s="108" t="n">
        <x:v>51790720256671.09</x:v>
      </x:c>
      <x:c r="E163" s="109" t="n">
        <x:v>60.78623611513149</x:v>
      </x:c>
      <x:c r="F163" s="108" t="n">
        <x:v>529535997941475700</x:v>
      </x:c>
      <x:c r="G163" s="109" t="n">
        <x:v>30.888390528742185</x:v>
      </x:c>
      <x:c r="H163" s="110" t="n">
        <x:v>0.742</x:v>
      </x:c>
      <x:c r="I163" s="111" t="n">
        <x:v>81.967</x:v>
      </x:c>
      <x:c r="J163" s="112" t="n">
        <x:v>0.0001709</x:v>
      </x:c>
      <x:c r="K163" s="112" t="n">
        <x:v>1.146e-14</x:v>
      </x:c>
    </x:row>
    <x:row r="164">
      <x:c r="A164" s="31" t="str">
        <x:v>LR163</x:v>
      </x:c>
      <x:c r="B164" s="31" t="str">
        <x:v>L1000-30, L1000-44</x:v>
      </x:c>
      <x:c r="C164" s="35" t="n">
        <x:v>1</x:v>
      </x:c>
      <x:c r="D164" s="108" t="n">
        <x:v>859280666059570.8</x:v>
      </x:c>
      <x:c r="E164" s="109" t="n">
        <x:v>37.041189877489785</x:v>
      </x:c>
      <x:c r="F164" s="108" t="n">
        <x:v>49486740087029290</x:v>
      </x:c>
      <x:c r="G164" s="109" t="n">
        <x:v>32.63576106831723</x:v>
      </x:c>
      <x:c r="H164" s="110" t="n">
        <x:v>0.839</x:v>
      </x:c>
      <x:c r="I164" s="111" t="n">
        <x:v>84.242</x:v>
      </x:c>
      <x:c r="J164" s="112" t="n">
        <x:v>0.0001506</x:v>
      </x:c>
      <x:c r="K164" s="112" t="n">
        <x:v>7.878e-16</x:v>
      </x:c>
    </x:row>
    <x:row r="165">
      <x:c r="A165" s="31" t="str">
        <x:v>LR164</x:v>
      </x:c>
      <x:c r="B165" s="31" t="str">
        <x:v>L1000-31</x:v>
      </x:c>
      <x:c r="C165" s="35" t="n">
        <x:v>1</x:v>
      </x:c>
      <x:c r="D165" s="108" t="n">
        <x:v>313840234000.7839</x:v>
      </x:c>
      <x:c r="E165" s="109" t="n">
        <x:v>61.76382484412846</x:v>
      </x:c>
      <x:c r="F165" s="108" t="n">
        <x:v>590345010708170800</x:v>
      </x:c>
      <x:c r="G165" s="109" t="n">
        <x:v>17.564958730727785</x:v>
      </x:c>
      <x:c r="H165" s="110" t="n">
        <x:v>0.885</x:v>
      </x:c>
      <x:c r="I165" s="111" t="n">
        <x:v>86.658</x:v>
      </x:c>
      <x:c r="J165" s="112" t="n">
        <x:v>0.0001413</x:v>
      </x:c>
      <x:c r="K165" s="112" t="n">
        <x:v>4.47e-16</x:v>
      </x:c>
    </x:row>
    <x:row r="166">
      <x:c r="A166" s="31" t="str">
        <x:v>LR165</x:v>
      </x:c>
      <x:c r="B166" s="31" t="str">
        <x:v>L1000-33</x:v>
      </x:c>
      <x:c r="C166" s="35" t="n">
        <x:v>1</x:v>
      </x:c>
      <x:c r="D166" s="108" t="n">
        <x:v>104187989939901.27</x:v>
      </x:c>
      <x:c r="E166" s="109" t="n">
        <x:v>53.81669018369497</x:v>
      </x:c>
      <x:c r="F166" s="108" t="n">
        <x:v>111793701923652.38</x:v>
      </x:c>
      <x:c r="G166" s="109" t="n">
        <x:v>24.424754966730617</x:v>
      </x:c>
      <x:c r="H166" s="110" t="n">
        <x:v>0.88</x:v>
      </x:c>
      <x:c r="I166" s="111" t="n">
        <x:v>86.546</x:v>
      </x:c>
      <x:c r="J166" s="112" t="n">
        <x:v>0.0001334</x:v>
      </x:c>
      <x:c r="K166" s="112" t="n">
        <x:v>7.059e-16</x:v>
      </x:c>
    </x:row>
    <x:row r="167">
      <x:c r="A167" s="31" t="str">
        <x:v>LR166</x:v>
      </x:c>
      <x:c r="B167" s="31" t="str">
        <x:v>L1000-36</x:v>
      </x:c>
      <x:c r="C167" s="35" t="n">
        <x:v>1</x:v>
      </x:c>
      <x:c r="D167" s="108" t="n">
        <x:v>923253761172689.2</x:v>
      </x:c>
      <x:c r="E167" s="109" t="n">
        <x:v>27.904665469042172</x:v>
      </x:c>
      <x:c r="F167" s="108" t="n">
        <x:v>114988208960701.58</x:v>
      </x:c>
      <x:c r="G167" s="109" t="n">
        <x:v>23.5777417122399</x:v>
      </x:c>
      <x:c r="H167" s="110" t="n">
        <x:v>0.886</x:v>
      </x:c>
      <x:c r="I167" s="111" t="n">
        <x:v>87.955</x:v>
      </x:c>
      <x:c r="J167" s="112" t="n">
        <x:v>0.000138</x:v>
      </x:c>
      <x:c r="K167" s="112" t="n">
        <x:v>5.032e-16</x:v>
      </x:c>
    </x:row>
    <x:row r="168">
      <x:c r="A168" s="31" t="str">
        <x:v>LR167</x:v>
      </x:c>
      <x:c r="B168" s="31" t="str">
        <x:v>L1000-37</x:v>
      </x:c>
      <x:c r="C168" s="35" t="n">
        <x:v>1</x:v>
      </x:c>
      <x:c r="D168" s="108" t="n">
        <x:v>16485803343690.09</x:v>
      </x:c>
      <x:c r="E168" s="109" t="n">
        <x:v>60.010488875201595</x:v>
      </x:c>
      <x:c r="F168" s="108" t="n">
        <x:v>517997481149347200</x:v>
      </x:c>
      <x:c r="G168" s="109" t="n">
        <x:v>24.603781948314523</x:v>
      </x:c>
      <x:c r="H168" s="110" t="n">
        <x:v>0.883</x:v>
      </x:c>
      <x:c r="I168" s="111" t="n">
        <x:v>85.979</x:v>
      </x:c>
      <x:c r="J168" s="112" t="n">
        <x:v>0.0001477</x:v>
      </x:c>
      <x:c r="K168" s="112" t="n">
        <x:v>4.913e-16</x:v>
      </x:c>
    </x:row>
    <x:row r="169">
      <x:c r="A169" s="31" t="str">
        <x:v>LR168</x:v>
      </x:c>
      <x:c r="B169" s="31" t="str">
        <x:v>L1000-38</x:v>
      </x:c>
      <x:c r="C169" s="35" t="n">
        <x:v>1</x:v>
      </x:c>
      <x:c r="D169" s="108" t="n">
        <x:v>51987995286227.37</x:v>
      </x:c>
      <x:c r="E169" s="109" t="n">
        <x:v>36.71248793604378</x:v>
      </x:c>
      <x:c r="F169" s="108" t="n">
        <x:v>591964385764445300</x:v>
      </x:c>
      <x:c r="G169" s="109" t="n">
        <x:v>17.494942024940737</x:v>
      </x:c>
      <x:c r="H169" s="110" t="n">
        <x:v>0.885</x:v>
      </x:c>
      <x:c r="I169" s="111" t="n">
        <x:v>86.564</x:v>
      </x:c>
      <x:c r="J169" s="112" t="n">
        <x:v>0.0001417</x:v>
      </x:c>
      <x:c r="K169" s="112" t="n">
        <x:v>4.433e-16</x:v>
      </x:c>
    </x:row>
    <x:row r="170">
      <x:c r="A170" s="31" t="str">
        <x:v>LR169</x:v>
      </x:c>
      <x:c r="B170" s="31" t="str">
        <x:v>L1000-39</x:v>
      </x:c>
      <x:c r="C170" s="35" t="n">
        <x:v>1</x:v>
      </x:c>
      <x:c r="D170" s="108" t="n">
        <x:v>756161410632648.8</x:v>
      </x:c>
      <x:c r="E170" s="109" t="n">
        <x:v>29.152526727704775</x:v>
      </x:c>
      <x:c r="F170" s="108" t="n">
        <x:v>270591483739860350</x:v>
      </x:c>
      <x:c r="G170" s="109" t="n">
        <x:v>13.704569037240105</x:v>
      </x:c>
      <x:c r="H170" s="110" t="n">
        <x:v>0.888</x:v>
      </x:c>
      <x:c r="I170" s="111" t="n">
        <x:v>88.718</x:v>
      </x:c>
      <x:c r="J170" s="112" t="n">
        <x:v>0.0001415</x:v>
      </x:c>
      <x:c r="K170" s="112" t="n">
        <x:v>3.835e-16</x:v>
      </x:c>
    </x:row>
    <x:row r="171">
      <x:c r="A171" s="31" t="str">
        <x:v>LR170</x:v>
      </x:c>
      <x:c r="B171" s="31" t="str">
        <x:v>L1000-41</x:v>
      </x:c>
      <x:c r="C171" s="35" t="n">
        <x:v>1</x:v>
      </x:c>
      <x:c r="D171" s="108" t="n">
        <x:v>515531768750969.3</x:v>
      </x:c>
      <x:c r="E171" s="109" t="n">
        <x:v>43.49451169269394</x:v>
      </x:c>
      <x:c r="F171" s="108" t="n">
        <x:v>4528051782241060</x:v>
      </x:c>
      <x:c r="G171" s="109" t="n">
        <x:v>10.416165662727956</x:v>
      </x:c>
      <x:c r="H171" s="110" t="n">
        <x:v>0.886</x:v>
      </x:c>
      <x:c r="I171" s="111" t="n">
        <x:v>86.606</x:v>
      </x:c>
      <x:c r="J171" s="112" t="n">
        <x:v>0.0001402</x:v>
      </x:c>
      <x:c r="K171" s="112" t="n">
        <x:v>5.142e-16</x:v>
      </x:c>
    </x:row>
    <x:row r="172">
      <x:c r="A172" s="31" t="str">
        <x:v>LR171</x:v>
      </x:c>
      <x:c r="B172" s="31" t="str">
        <x:v>L1000-42</x:v>
      </x:c>
      <x:c r="C172" s="35" t="n">
        <x:v>1</x:v>
      </x:c>
      <x:c r="D172" s="108" t="n">
        <x:v>520112039782003</x:v>
      </x:c>
      <x:c r="E172" s="109" t="n">
        <x:v>52.04074585632831</x:v>
      </x:c>
      <x:c r="F172" s="108" t="n">
        <x:v>85638453773201870</x:v>
      </x:c>
      <x:c r="G172" s="109" t="n">
        <x:v>16.68072309195974</x:v>
      </x:c>
      <x:c r="H172" s="110" t="n">
        <x:v>0.887</x:v>
      </x:c>
      <x:c r="I172" s="111" t="n">
        <x:v>87.004</x:v>
      </x:c>
      <x:c r="J172" s="112" t="n">
        <x:v>0.000142</x:v>
      </x:c>
      <x:c r="K172" s="112" t="n">
        <x:v>4.727e-16</x:v>
      </x:c>
    </x:row>
    <x:row r="173">
      <x:c r="A173" s="31" t="str">
        <x:v>LR172</x:v>
      </x:c>
      <x:c r="B173" s="31" t="str">
        <x:v>L1000-45</x:v>
      </x:c>
      <x:c r="C173" s="35" t="n">
        <x:v>1</x:v>
      </x:c>
      <x:c r="D173" s="108" t="n">
        <x:v>775180367035469.4</x:v>
      </x:c>
      <x:c r="E173" s="109" t="n">
        <x:v>36.36345939466673</x:v>
      </x:c>
      <x:c r="F173" s="108" t="n">
        <x:v>643156539913290500</x:v>
      </x:c>
      <x:c r="G173" s="109" t="n">
        <x:v>19.759267491040838</x:v>
      </x:c>
      <x:c r="H173" s="110" t="n">
        <x:v>0.885</x:v>
      </x:c>
      <x:c r="I173" s="111" t="n">
        <x:v>86.193</x:v>
      </x:c>
      <x:c r="J173" s="112" t="n">
        <x:v>0.0001443</x:v>
      </x:c>
      <x:c r="K173" s="112" t="n">
        <x:v>7.207e-16</x:v>
      </x:c>
    </x:row>
    <x:row r="174">
      <x:c r="A174" s="31" t="str">
        <x:v>LR173</x:v>
      </x:c>
      <x:c r="B174" s="31" t="str">
        <x:v>L1000-46</x:v>
      </x:c>
      <x:c r="C174" s="35" t="n">
        <x:v>1</x:v>
      </x:c>
      <x:c r="D174" s="108" t="n">
        <x:v>6434482583093.563</x:v>
      </x:c>
      <x:c r="E174" s="109" t="n">
        <x:v>51.476371125222734</x:v>
      </x:c>
      <x:c r="F174" s="108" t="n">
        <x:v>5499440005250984</x:v>
      </x:c>
      <x:c r="G174" s="109" t="n">
        <x:v>12.44184341551062</x:v>
      </x:c>
      <x:c r="H174" s="110" t="n">
        <x:v>0.882</x:v>
      </x:c>
      <x:c r="I174" s="111" t="n">
        <x:v>86.288</x:v>
      </x:c>
      <x:c r="J174" s="112" t="n">
        <x:v>0.0001316</x:v>
      </x:c>
      <x:c r="K174" s="112" t="n">
        <x:v>4.497e-16</x:v>
      </x:c>
    </x:row>
    <x:row r="175">
      <x:c r="A175" s="31" t="str">
        <x:v>LR174</x:v>
      </x:c>
      <x:c r="B175" s="31" t="str">
        <x:v>L1000-48</x:v>
      </x:c>
      <x:c r="C175" s="35" t="n">
        <x:v>1</x:v>
      </x:c>
      <x:c r="D175" s="108" t="n">
        <x:v>259746878428230.06</x:v>
      </x:c>
      <x:c r="E175" s="109" t="n">
        <x:v>57.14554396382968</x:v>
      </x:c>
      <x:c r="F175" s="108" t="n">
        <x:v>996724496472035800</x:v>
      </x:c>
      <x:c r="G175" s="109" t="n">
        <x:v>12.843315988804589</x:v>
      </x:c>
      <x:c r="H175" s="110" t="n">
        <x:v>0.887</x:v>
      </x:c>
      <x:c r="I175" s="111" t="n">
        <x:v>85.964</x:v>
      </x:c>
      <x:c r="J175" s="112" t="n">
        <x:v>0.0001421</x:v>
      </x:c>
      <x:c r="K175" s="112" t="n">
        <x:v>4.056e-16</x:v>
      </x:c>
    </x:row>
    <x:row r="176">
      <x:c r="A176" s="31" t="str">
        <x:v>LR175</x:v>
      </x:c>
      <x:c r="B176" s="31" t="str">
        <x:v>L1000-49</x:v>
      </x:c>
      <x:c r="C176" s="35" t="n">
        <x:v>1</x:v>
      </x:c>
      <x:c r="D176" s="108" t="n">
        <x:v>501619191750052.1</x:v>
      </x:c>
      <x:c r="E176" s="109" t="n">
        <x:v>12.218568298814183</x:v>
      </x:c>
      <x:c r="F176" s="108" t="n">
        <x:v>438872982295843.2</x:v>
      </x:c>
      <x:c r="G176" s="109" t="n">
        <x:v>35.099402952628566</x:v>
      </x:c>
      <x:c r="H176" s="110" t="n">
        <x:v>0.887</x:v>
      </x:c>
      <x:c r="I176" s="111" t="n">
        <x:v>86.213</x:v>
      </x:c>
      <x:c r="J176" s="112" t="n">
        <x:v>0.0001363</x:v>
      </x:c>
      <x:c r="K176" s="112" t="n">
        <x:v>3.746e-16</x:v>
      </x:c>
    </x:row>
  </x:sheetData>
  <x:pageMargins left="0.7" right="0.7" top="0.75" bottom="0.75" header="0.3" footer="0.3"/>
  <x:tableParts count="1">
    <x:tablePart xmlns:r="http://schemas.openxmlformats.org/officeDocument/2006/relationships" r:id="R6d85c7c6b3044717"/>
  </x:tableParts>
</x:worksheet>
</file>